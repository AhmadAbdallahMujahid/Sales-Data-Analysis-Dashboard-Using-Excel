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hmad Abdallah\Desktop\Flash_0\5_Work\OnlineCourses\DataAnalysis0\Project\DataAfter\"/>
    </mc:Choice>
  </mc:AlternateContent>
  <xr:revisionPtr revIDLastSave="0" documentId="13_ncr:1_{400CDB71-B9FE-40C6-8857-B6DF3F6BF638}" xr6:coauthVersionLast="47" xr6:coauthVersionMax="47" xr10:uidLastSave="{00000000-0000-0000-0000-000000000000}"/>
  <bookViews>
    <workbookView xWindow="-96" yWindow="0" windowWidth="17460" windowHeight="12336" xr2:uid="{00000000-000D-0000-FFFF-FFFF00000000}"/>
  </bookViews>
  <sheets>
    <sheet name="Sales" sheetId="2" r:id="rId1"/>
  </sheets>
  <definedNames>
    <definedName name="ExternalData_1" localSheetId="0" hidden="1">Sales!$A$1:$H$996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2" l="1" a="1"/>
  <c r="I2" i="2"/>
  <c r="I3" i="2" a="1"/>
  <c r="I3" i="2"/>
  <c r="I4" i="2" a="1"/>
  <c r="I4" i="2"/>
  <c r="I5" i="2" a="1"/>
  <c r="I5" i="2"/>
  <c r="I6" i="2" a="1"/>
  <c r="I6" i="2"/>
  <c r="I7" i="2" a="1"/>
  <c r="I7" i="2"/>
  <c r="I8" i="2" a="1"/>
  <c r="I8" i="2"/>
  <c r="I9" i="2" a="1"/>
  <c r="I9" i="2"/>
  <c r="I10" i="2" a="1"/>
  <c r="I10" i="2"/>
  <c r="I11" i="2" a="1"/>
  <c r="I11" i="2"/>
  <c r="I12" i="2" a="1"/>
  <c r="I12" i="2"/>
  <c r="I13" i="2" a="1"/>
  <c r="I13" i="2"/>
  <c r="I14" i="2" a="1"/>
  <c r="I14" i="2"/>
  <c r="I15" i="2" a="1"/>
  <c r="I15" i="2"/>
  <c r="I16" i="2" a="1"/>
  <c r="I16" i="2"/>
  <c r="I17" i="2" a="1"/>
  <c r="I17" i="2"/>
  <c r="I18" i="2" a="1"/>
  <c r="I18" i="2"/>
  <c r="I19" i="2" a="1"/>
  <c r="I19" i="2"/>
  <c r="I20" i="2" a="1"/>
  <c r="I20" i="2"/>
  <c r="I21" i="2" a="1"/>
  <c r="I21" i="2"/>
  <c r="I22" i="2" a="1"/>
  <c r="I22" i="2"/>
  <c r="I23" i="2" a="1"/>
  <c r="I23" i="2"/>
  <c r="I24" i="2" a="1"/>
  <c r="I24" i="2"/>
  <c r="I25" i="2" a="1"/>
  <c r="I25" i="2"/>
  <c r="I26" i="2" a="1"/>
  <c r="I26" i="2"/>
  <c r="I27" i="2" a="1"/>
  <c r="I27" i="2"/>
  <c r="I28" i="2" a="1"/>
  <c r="I28" i="2"/>
  <c r="I29" i="2" a="1"/>
  <c r="I29" i="2"/>
  <c r="I30" i="2" a="1"/>
  <c r="I30" i="2"/>
  <c r="I31" i="2" a="1"/>
  <c r="I31" i="2"/>
  <c r="I32" i="2" a="1"/>
  <c r="I32" i="2"/>
  <c r="I33" i="2" a="1"/>
  <c r="I33" i="2"/>
  <c r="I34" i="2" a="1"/>
  <c r="I34" i="2"/>
  <c r="I35" i="2" a="1"/>
  <c r="I35" i="2"/>
  <c r="I36" i="2" a="1"/>
  <c r="I36" i="2"/>
  <c r="I37" i="2" a="1"/>
  <c r="I37" i="2"/>
  <c r="I38" i="2" a="1"/>
  <c r="I38" i="2"/>
  <c r="I39" i="2" a="1"/>
  <c r="I39" i="2"/>
  <c r="I40" i="2" a="1"/>
  <c r="I40" i="2"/>
  <c r="I41" i="2" a="1"/>
  <c r="I41" i="2"/>
  <c r="I42" i="2" a="1"/>
  <c r="I42" i="2"/>
  <c r="I43" i="2" a="1"/>
  <c r="I43" i="2"/>
  <c r="I44" i="2" a="1"/>
  <c r="I44" i="2"/>
  <c r="I45" i="2" a="1"/>
  <c r="I45" i="2"/>
  <c r="I46" i="2" a="1"/>
  <c r="I46" i="2"/>
  <c r="I47" i="2" a="1"/>
  <c r="I47" i="2"/>
  <c r="I48" i="2" a="1"/>
  <c r="I48" i="2"/>
  <c r="I49" i="2" a="1"/>
  <c r="I49" i="2"/>
  <c r="I50" i="2" a="1"/>
  <c r="I50" i="2"/>
  <c r="I51" i="2" a="1"/>
  <c r="I51" i="2"/>
  <c r="I52" i="2" a="1"/>
  <c r="I52" i="2"/>
  <c r="I53" i="2" a="1"/>
  <c r="I53" i="2"/>
  <c r="I54" i="2" a="1"/>
  <c r="I54" i="2"/>
  <c r="I55" i="2" a="1"/>
  <c r="I55" i="2"/>
  <c r="I56" i="2" a="1"/>
  <c r="I56" i="2"/>
  <c r="I57" i="2" a="1"/>
  <c r="I57" i="2"/>
  <c r="I58" i="2" a="1"/>
  <c r="I58" i="2"/>
  <c r="I59" i="2" a="1"/>
  <c r="I59" i="2"/>
  <c r="I60" i="2" a="1"/>
  <c r="I60" i="2"/>
  <c r="I61" i="2" a="1"/>
  <c r="I61" i="2"/>
  <c r="I62" i="2" a="1"/>
  <c r="I62" i="2"/>
  <c r="I63" i="2" a="1"/>
  <c r="I63" i="2"/>
  <c r="I64" i="2" a="1"/>
  <c r="I64" i="2"/>
  <c r="I65" i="2" a="1"/>
  <c r="I65" i="2"/>
  <c r="I66" i="2" a="1"/>
  <c r="I66" i="2"/>
  <c r="I67" i="2" a="1"/>
  <c r="I67" i="2"/>
  <c r="I68" i="2" a="1"/>
  <c r="I68" i="2"/>
  <c r="I69" i="2" a="1"/>
  <c r="I69" i="2"/>
  <c r="I70" i="2" a="1"/>
  <c r="I70" i="2"/>
  <c r="I71" i="2" a="1"/>
  <c r="I71" i="2"/>
  <c r="I72" i="2" a="1"/>
  <c r="I72" i="2"/>
  <c r="I73" i="2" a="1"/>
  <c r="I73" i="2"/>
  <c r="I74" i="2" a="1"/>
  <c r="I74" i="2"/>
  <c r="I75" i="2" a="1"/>
  <c r="I75" i="2"/>
  <c r="I76" i="2" a="1"/>
  <c r="I76" i="2"/>
  <c r="I77" i="2" a="1"/>
  <c r="I77" i="2"/>
  <c r="I78" i="2" a="1"/>
  <c r="I78" i="2"/>
  <c r="I79" i="2" a="1"/>
  <c r="I79" i="2"/>
  <c r="I80" i="2" a="1"/>
  <c r="I80" i="2"/>
  <c r="I81" i="2" a="1"/>
  <c r="I81" i="2" s="1"/>
  <c r="I82" i="2" a="1"/>
  <c r="I82" i="2" s="1"/>
  <c r="I83" i="2" a="1"/>
  <c r="I83" i="2" s="1"/>
  <c r="I84" i="2" a="1"/>
  <c r="I84" i="2" s="1"/>
  <c r="I85" i="2" a="1"/>
  <c r="I85" i="2"/>
  <c r="I86" i="2" a="1"/>
  <c r="I86" i="2"/>
  <c r="I87" i="2" a="1"/>
  <c r="I87" i="2"/>
  <c r="I88" i="2" a="1"/>
  <c r="I88" i="2"/>
  <c r="I89" i="2" a="1"/>
  <c r="I89" i="2"/>
  <c r="I90" i="2" a="1"/>
  <c r="I90" i="2"/>
  <c r="I91" i="2" a="1"/>
  <c r="I91" i="2"/>
  <c r="I92" i="2" a="1"/>
  <c r="I92" i="2"/>
  <c r="I93" i="2" a="1"/>
  <c r="I93" i="2"/>
  <c r="I94" i="2" a="1"/>
  <c r="I94" i="2"/>
  <c r="I95" i="2" a="1"/>
  <c r="I95" i="2"/>
  <c r="I96" i="2" a="1"/>
  <c r="I96" i="2"/>
  <c r="I97" i="2" a="1"/>
  <c r="I97" i="2"/>
  <c r="I98" i="2" a="1"/>
  <c r="I98" i="2"/>
  <c r="I99" i="2" a="1"/>
  <c r="I99" i="2"/>
  <c r="I100" i="2" a="1"/>
  <c r="I100" i="2"/>
  <c r="I101" i="2" a="1"/>
  <c r="I101" i="2"/>
  <c r="I102" i="2" a="1"/>
  <c r="I102" i="2"/>
  <c r="I103" i="2" a="1"/>
  <c r="I103" i="2"/>
  <c r="I104" i="2" a="1"/>
  <c r="I104" i="2"/>
  <c r="I105" i="2" a="1"/>
  <c r="I105" i="2"/>
  <c r="I106" i="2" a="1"/>
  <c r="I106" i="2"/>
  <c r="I107" i="2" a="1"/>
  <c r="I107" i="2"/>
  <c r="I108" i="2" a="1"/>
  <c r="I108" i="2"/>
  <c r="I109" i="2" a="1"/>
  <c r="I109" i="2"/>
  <c r="I110" i="2" a="1"/>
  <c r="I110" i="2"/>
  <c r="I111" i="2" a="1"/>
  <c r="I111" i="2"/>
  <c r="I112" i="2" a="1"/>
  <c r="I112" i="2"/>
  <c r="I113" i="2" a="1"/>
  <c r="I113" i="2"/>
  <c r="I114" i="2" a="1"/>
  <c r="I114" i="2"/>
  <c r="I115" i="2" a="1"/>
  <c r="I115" i="2"/>
  <c r="I116" i="2" a="1"/>
  <c r="I116" i="2"/>
  <c r="I117" i="2" a="1"/>
  <c r="I117" i="2"/>
  <c r="I118" i="2" a="1"/>
  <c r="I118" i="2"/>
  <c r="I119" i="2" a="1"/>
  <c r="I119" i="2"/>
  <c r="I120" i="2" a="1"/>
  <c r="I120" i="2"/>
  <c r="I121" i="2" a="1"/>
  <c r="I121" i="2"/>
  <c r="I122" i="2" a="1"/>
  <c r="I122" i="2"/>
  <c r="I123" i="2" a="1"/>
  <c r="I123" i="2"/>
  <c r="I124" i="2" a="1"/>
  <c r="I124" i="2"/>
  <c r="I125" i="2" a="1"/>
  <c r="I125" i="2"/>
  <c r="I126" i="2" a="1"/>
  <c r="I126" i="2"/>
  <c r="I127" i="2" a="1"/>
  <c r="I127" i="2"/>
  <c r="I128" i="2" a="1"/>
  <c r="I128" i="2"/>
  <c r="I129" i="2" a="1"/>
  <c r="I129" i="2"/>
  <c r="I130" i="2" a="1"/>
  <c r="I130" i="2"/>
  <c r="I131" i="2" a="1"/>
  <c r="I131" i="2"/>
  <c r="I132" i="2" a="1"/>
  <c r="I132" i="2"/>
  <c r="I133" i="2" a="1"/>
  <c r="I133" i="2"/>
  <c r="I134" i="2" a="1"/>
  <c r="I134" i="2"/>
  <c r="I135" i="2" a="1"/>
  <c r="I135" i="2"/>
  <c r="I136" i="2" a="1"/>
  <c r="I136" i="2"/>
  <c r="I137" i="2" a="1"/>
  <c r="I137" i="2"/>
  <c r="I138" i="2" a="1"/>
  <c r="I138" i="2"/>
  <c r="I139" i="2" a="1"/>
  <c r="I139" i="2"/>
  <c r="I140" i="2" a="1"/>
  <c r="I140" i="2"/>
  <c r="I141" i="2" a="1"/>
  <c r="I141" i="2"/>
  <c r="I142" i="2" a="1"/>
  <c r="I142" i="2"/>
  <c r="I143" i="2" a="1"/>
  <c r="I143" i="2"/>
  <c r="I144" i="2" a="1"/>
  <c r="I144" i="2"/>
  <c r="I145" i="2" a="1"/>
  <c r="I145" i="2"/>
  <c r="I146" i="2" a="1"/>
  <c r="I146" i="2"/>
  <c r="I147" i="2" a="1"/>
  <c r="I147" i="2"/>
  <c r="I148" i="2" a="1"/>
  <c r="I148" i="2"/>
  <c r="I149" i="2" a="1"/>
  <c r="I149" i="2" s="1"/>
  <c r="I150" i="2" a="1"/>
  <c r="I150" i="2" s="1"/>
  <c r="I151" i="2" a="1"/>
  <c r="I151" i="2" s="1"/>
  <c r="I152" i="2" a="1"/>
  <c r="I152" i="2" s="1"/>
  <c r="I153" i="2" a="1"/>
  <c r="I153" i="2" s="1"/>
  <c r="I154" i="2" a="1"/>
  <c r="I154" i="2" s="1"/>
  <c r="I155" i="2" a="1"/>
  <c r="I155" i="2" s="1"/>
  <c r="I156" i="2" a="1"/>
  <c r="I156" i="2" s="1"/>
  <c r="I157" i="2" a="1"/>
  <c r="I157" i="2" s="1"/>
  <c r="I158" i="2" a="1"/>
  <c r="I158" i="2" s="1"/>
  <c r="I159" i="2" a="1"/>
  <c r="I159" i="2" s="1"/>
  <c r="I160" i="2" a="1"/>
  <c r="I160" i="2" s="1"/>
  <c r="I161" i="2" a="1"/>
  <c r="I161" i="2" s="1"/>
  <c r="I162" i="2" a="1"/>
  <c r="I162" i="2" s="1"/>
  <c r="I163" i="2" a="1"/>
  <c r="I163" i="2" s="1"/>
  <c r="I164" i="2" a="1"/>
  <c r="I164" i="2" s="1"/>
  <c r="I165" i="2" a="1"/>
  <c r="I165" i="2" s="1"/>
  <c r="I166" i="2" a="1"/>
  <c r="I166" i="2" s="1"/>
  <c r="I167" i="2" a="1"/>
  <c r="I167" i="2" s="1"/>
  <c r="I168" i="2" a="1"/>
  <c r="I168" i="2"/>
  <c r="I169" i="2" a="1"/>
  <c r="I169" i="2"/>
  <c r="I170" i="2" a="1"/>
  <c r="I170" i="2"/>
  <c r="I171" i="2" a="1"/>
  <c r="I171" i="2"/>
  <c r="I172" i="2" a="1"/>
  <c r="I172" i="2"/>
  <c r="I173" i="2" a="1"/>
  <c r="I173" i="2"/>
  <c r="I174" i="2" a="1"/>
  <c r="I174" i="2"/>
  <c r="I175" i="2" a="1"/>
  <c r="I175" i="2"/>
  <c r="I176" i="2" a="1"/>
  <c r="I176" i="2"/>
  <c r="I177" i="2" a="1"/>
  <c r="I177" i="2"/>
  <c r="I178" i="2" a="1"/>
  <c r="I178" i="2"/>
  <c r="I179" i="2" a="1"/>
  <c r="I179" i="2"/>
  <c r="I180" i="2" a="1"/>
  <c r="I180" i="2"/>
  <c r="I181" i="2" a="1"/>
  <c r="I181" i="2"/>
  <c r="I182" i="2" a="1"/>
  <c r="I182" i="2"/>
  <c r="I183" i="2" a="1"/>
  <c r="I183" i="2"/>
  <c r="I184" i="2" a="1"/>
  <c r="I184" i="2"/>
  <c r="I185" i="2" a="1"/>
  <c r="I185" i="2"/>
  <c r="I186" i="2" a="1"/>
  <c r="I186" i="2"/>
  <c r="I187" i="2" a="1"/>
  <c r="I187" i="2"/>
  <c r="I188" i="2" a="1"/>
  <c r="I188" i="2"/>
  <c r="I189" i="2" a="1"/>
  <c r="I189" i="2"/>
  <c r="I190" i="2" a="1"/>
  <c r="I190" i="2"/>
  <c r="I191" i="2" a="1"/>
  <c r="I191" i="2"/>
  <c r="I192" i="2" a="1"/>
  <c r="I192" i="2"/>
  <c r="I193" i="2" a="1"/>
  <c r="I193" i="2"/>
  <c r="I194" i="2" a="1"/>
  <c r="I194" i="2"/>
  <c r="I195" i="2" a="1"/>
  <c r="I195" i="2"/>
  <c r="I196" i="2" a="1"/>
  <c r="I196" i="2"/>
  <c r="I197" i="2" a="1"/>
  <c r="I197" i="2"/>
  <c r="I198" i="2" a="1"/>
  <c r="I198" i="2"/>
  <c r="I199" i="2" a="1"/>
  <c r="I199" i="2"/>
  <c r="I200" i="2" a="1"/>
  <c r="I200" i="2"/>
  <c r="I201" i="2" a="1"/>
  <c r="I201" i="2"/>
  <c r="I202" i="2" a="1"/>
  <c r="I202" i="2"/>
  <c r="I203" i="2" a="1"/>
  <c r="I203" i="2"/>
  <c r="I204" i="2" a="1"/>
  <c r="I204" i="2"/>
  <c r="I205" i="2" a="1"/>
  <c r="I205" i="2"/>
  <c r="I206" i="2" a="1"/>
  <c r="I206" i="2"/>
  <c r="I207" i="2" a="1"/>
  <c r="I207" i="2"/>
  <c r="I208" i="2" a="1"/>
  <c r="I208" i="2"/>
  <c r="I209" i="2" a="1"/>
  <c r="I209" i="2"/>
  <c r="I210" i="2" a="1"/>
  <c r="I210" i="2"/>
  <c r="I211" i="2" a="1"/>
  <c r="I211" i="2"/>
  <c r="I212" i="2" a="1"/>
  <c r="I212" i="2"/>
  <c r="I213" i="2" a="1"/>
  <c r="I213" i="2"/>
  <c r="I214" i="2" a="1"/>
  <c r="I214" i="2"/>
  <c r="I215" i="2" a="1"/>
  <c r="I215" i="2"/>
  <c r="I216" i="2" a="1"/>
  <c r="I216" i="2"/>
  <c r="I217" i="2" a="1"/>
  <c r="I217" i="2"/>
  <c r="I218" i="2" a="1"/>
  <c r="I218" i="2"/>
  <c r="I219" i="2" a="1"/>
  <c r="I219" i="2"/>
  <c r="I220" i="2" a="1"/>
  <c r="I220" i="2"/>
  <c r="I221" i="2" a="1"/>
  <c r="I221" i="2"/>
  <c r="I222" i="2" a="1"/>
  <c r="I222" i="2"/>
  <c r="I223" i="2" a="1"/>
  <c r="I223" i="2"/>
  <c r="I224" i="2" a="1"/>
  <c r="I224" i="2"/>
  <c r="I225" i="2" a="1"/>
  <c r="I225" i="2"/>
  <c r="I226" i="2" a="1"/>
  <c r="I226" i="2"/>
  <c r="I227" i="2" a="1"/>
  <c r="I227" i="2"/>
  <c r="I228" i="2" a="1"/>
  <c r="I228" i="2"/>
  <c r="I229" i="2" a="1"/>
  <c r="I229" i="2"/>
  <c r="I230" i="2" a="1"/>
  <c r="I230" i="2"/>
  <c r="I231" i="2" a="1"/>
  <c r="I231" i="2"/>
  <c r="I232" i="2" a="1"/>
  <c r="I232" i="2"/>
  <c r="I233" i="2" a="1"/>
  <c r="I233" i="2"/>
  <c r="I234" i="2" a="1"/>
  <c r="I234" i="2"/>
  <c r="I235" i="2" a="1"/>
  <c r="I235" i="2"/>
  <c r="I236" i="2" a="1"/>
  <c r="I236" i="2"/>
  <c r="I237" i="2" a="1"/>
  <c r="I237" i="2"/>
  <c r="I238" i="2" a="1"/>
  <c r="I238" i="2"/>
  <c r="I239" i="2" a="1"/>
  <c r="I239" i="2"/>
  <c r="I240" i="2" a="1"/>
  <c r="I240" i="2"/>
  <c r="I241" i="2" a="1"/>
  <c r="I241" i="2"/>
  <c r="I242" i="2" a="1"/>
  <c r="I242" i="2"/>
  <c r="I243" i="2" a="1"/>
  <c r="I243" i="2"/>
  <c r="I244" i="2" a="1"/>
  <c r="I244" i="2"/>
  <c r="I245" i="2" a="1"/>
  <c r="I245" i="2"/>
  <c r="I246" i="2" a="1"/>
  <c r="I246" i="2"/>
  <c r="I247" i="2" a="1"/>
  <c r="I247" i="2"/>
  <c r="I248" i="2" a="1"/>
  <c r="I248" i="2"/>
  <c r="I249" i="2" a="1"/>
  <c r="I249" i="2"/>
  <c r="I250" i="2" a="1"/>
  <c r="I250" i="2" s="1"/>
  <c r="I251" i="2" a="1"/>
  <c r="I251" i="2"/>
  <c r="I252" i="2" a="1"/>
  <c r="I252" i="2"/>
  <c r="I253" i="2" a="1"/>
  <c r="I253" i="2"/>
  <c r="I254" i="2" a="1"/>
  <c r="I254" i="2"/>
  <c r="I255" i="2" a="1"/>
  <c r="I255" i="2"/>
  <c r="I256" i="2" a="1"/>
  <c r="I256" i="2"/>
  <c r="I257" i="2" a="1"/>
  <c r="I257" i="2"/>
  <c r="I258" i="2" a="1"/>
  <c r="I258" i="2"/>
  <c r="I259" i="2" a="1"/>
  <c r="I259" i="2"/>
  <c r="I260" i="2" a="1"/>
  <c r="I260" i="2"/>
  <c r="I261" i="2" a="1"/>
  <c r="I261" i="2"/>
  <c r="I262" i="2" a="1"/>
  <c r="I262" i="2"/>
  <c r="I263" i="2" a="1"/>
  <c r="I263" i="2"/>
  <c r="I264" i="2" a="1"/>
  <c r="I264" i="2"/>
  <c r="I265" i="2" a="1"/>
  <c r="I265" i="2"/>
  <c r="I266" i="2" a="1"/>
  <c r="I266" i="2"/>
  <c r="I267" i="2" a="1"/>
  <c r="I267" i="2"/>
  <c r="I268" i="2" a="1"/>
  <c r="I268" i="2"/>
  <c r="I269" i="2" a="1"/>
  <c r="I269" i="2"/>
  <c r="I270" i="2" a="1"/>
  <c r="I270" i="2"/>
  <c r="I271" i="2" a="1"/>
  <c r="I271" i="2"/>
  <c r="I272" i="2" a="1"/>
  <c r="I272" i="2"/>
  <c r="I273" i="2" a="1"/>
  <c r="I273" i="2"/>
  <c r="I274" i="2" a="1"/>
  <c r="I274" i="2"/>
  <c r="I275" i="2" a="1"/>
  <c r="I275" i="2"/>
  <c r="I276" i="2" a="1"/>
  <c r="I276" i="2"/>
  <c r="I277" i="2" a="1"/>
  <c r="I277" i="2"/>
  <c r="I278" i="2" a="1"/>
  <c r="I278" i="2"/>
  <c r="I279" i="2" a="1"/>
  <c r="I279" i="2"/>
  <c r="I280" i="2" a="1"/>
  <c r="I280" i="2"/>
  <c r="I281" i="2" a="1"/>
  <c r="I281" i="2"/>
  <c r="I282" i="2" a="1"/>
  <c r="I282" i="2"/>
  <c r="I283" i="2" a="1"/>
  <c r="I283" i="2"/>
  <c r="I284" i="2" a="1"/>
  <c r="I284" i="2"/>
  <c r="I285" i="2" a="1"/>
  <c r="I285" i="2"/>
  <c r="I286" i="2" a="1"/>
  <c r="I286" i="2"/>
  <c r="I287" i="2" a="1"/>
  <c r="I287" i="2"/>
  <c r="I288" i="2" a="1"/>
  <c r="I288" i="2"/>
  <c r="I289" i="2" a="1"/>
  <c r="I289" i="2"/>
  <c r="I290" i="2" a="1"/>
  <c r="I290" i="2"/>
  <c r="I291" i="2" a="1"/>
  <c r="I291" i="2"/>
  <c r="I292" i="2" a="1"/>
  <c r="I292" i="2"/>
  <c r="I293" i="2" a="1"/>
  <c r="I293" i="2"/>
  <c r="I294" i="2" a="1"/>
  <c r="I294" i="2"/>
  <c r="I295" i="2" a="1"/>
  <c r="I295" i="2"/>
  <c r="I296" i="2" a="1"/>
  <c r="I296" i="2"/>
  <c r="I297" i="2" a="1"/>
  <c r="I297" i="2"/>
  <c r="I298" i="2" a="1"/>
  <c r="I298" i="2"/>
  <c r="I299" i="2" a="1"/>
  <c r="I299" i="2"/>
  <c r="I300" i="2" a="1"/>
  <c r="I300" i="2"/>
  <c r="I301" i="2" a="1"/>
  <c r="I301" i="2"/>
  <c r="I302" i="2" a="1"/>
  <c r="I302" i="2"/>
  <c r="I303" i="2" a="1"/>
  <c r="I303" i="2"/>
  <c r="I304" i="2" a="1"/>
  <c r="I304" i="2"/>
  <c r="I305" i="2" a="1"/>
  <c r="I305" i="2"/>
  <c r="I306" i="2" a="1"/>
  <c r="I306" i="2"/>
  <c r="I307" i="2" a="1"/>
  <c r="I307" i="2"/>
  <c r="I308" i="2" a="1"/>
  <c r="I308" i="2"/>
  <c r="I309" i="2" a="1"/>
  <c r="I309" i="2"/>
  <c r="I310" i="2" a="1"/>
  <c r="I310" i="2"/>
  <c r="I311" i="2" a="1"/>
  <c r="I311" i="2"/>
  <c r="I312" i="2" a="1"/>
  <c r="I312" i="2"/>
  <c r="I313" i="2" a="1"/>
  <c r="I313" i="2"/>
  <c r="I314" i="2" a="1"/>
  <c r="I314" i="2"/>
  <c r="I315" i="2" a="1"/>
  <c r="I315" i="2"/>
  <c r="I316" i="2" a="1"/>
  <c r="I316" i="2"/>
  <c r="I317" i="2" a="1"/>
  <c r="I317" i="2"/>
  <c r="I318" i="2" a="1"/>
  <c r="I318" i="2"/>
  <c r="I319" i="2" a="1"/>
  <c r="I319" i="2"/>
  <c r="I320" i="2" a="1"/>
  <c r="I320" i="2"/>
  <c r="I321" i="2" a="1"/>
  <c r="I321" i="2"/>
  <c r="I322" i="2" a="1"/>
  <c r="I322" i="2"/>
  <c r="I323" i="2" a="1"/>
  <c r="I323" i="2"/>
  <c r="I324" i="2" a="1"/>
  <c r="I324" i="2"/>
  <c r="I325" i="2" a="1"/>
  <c r="I325" i="2"/>
  <c r="I326" i="2" a="1"/>
  <c r="I326" i="2"/>
  <c r="I327" i="2" a="1"/>
  <c r="I327" i="2"/>
  <c r="I328" i="2" a="1"/>
  <c r="I328" i="2"/>
  <c r="I329" i="2" a="1"/>
  <c r="I329" i="2"/>
  <c r="I330" i="2" a="1"/>
  <c r="I330" i="2"/>
  <c r="I331" i="2" a="1"/>
  <c r="I331" i="2"/>
  <c r="I332" i="2" a="1"/>
  <c r="I332" i="2"/>
  <c r="I333" i="2" a="1"/>
  <c r="I333" i="2" s="1"/>
  <c r="I334" i="2" a="1"/>
  <c r="I334" i="2" s="1"/>
  <c r="I335" i="2" a="1"/>
  <c r="I335" i="2" s="1"/>
  <c r="I336" i="2" a="1"/>
  <c r="I336" i="2" s="1"/>
  <c r="I337" i="2" a="1"/>
  <c r="I337" i="2" s="1"/>
  <c r="I338" i="2" a="1"/>
  <c r="I338" i="2" s="1"/>
  <c r="I339" i="2" a="1"/>
  <c r="I339" i="2" s="1"/>
  <c r="I340" i="2" a="1"/>
  <c r="I340" i="2" s="1"/>
  <c r="I341" i="2" a="1"/>
  <c r="I341" i="2" s="1"/>
  <c r="I342" i="2" a="1"/>
  <c r="I342" i="2" s="1"/>
  <c r="I343" i="2" a="1"/>
  <c r="I343" i="2" s="1"/>
  <c r="I344" i="2" a="1"/>
  <c r="I344" i="2" s="1"/>
  <c r="I345" i="2" a="1"/>
  <c r="I345" i="2"/>
  <c r="I346" i="2" a="1"/>
  <c r="I346" i="2" s="1"/>
  <c r="I347" i="2" a="1"/>
  <c r="I347" i="2"/>
  <c r="I348" i="2" a="1"/>
  <c r="I348" i="2" s="1"/>
  <c r="I349" i="2" a="1"/>
  <c r="I349" i="2" s="1"/>
  <c r="I350" i="2" a="1"/>
  <c r="I350" i="2" s="1"/>
  <c r="I351" i="2" a="1"/>
  <c r="I351" i="2" s="1"/>
  <c r="I352" i="2" a="1"/>
  <c r="I352" i="2" s="1"/>
  <c r="I353" i="2" a="1"/>
  <c r="I353" i="2" s="1"/>
  <c r="I354" i="2" a="1"/>
  <c r="I354" i="2" s="1"/>
  <c r="I355" i="2" a="1"/>
  <c r="I355" i="2" s="1"/>
  <c r="I356" i="2" a="1"/>
  <c r="I356" i="2" s="1"/>
  <c r="I357" i="2" a="1"/>
  <c r="I357" i="2" s="1"/>
  <c r="I358" i="2" a="1"/>
  <c r="I358" i="2" s="1"/>
  <c r="I359" i="2" a="1"/>
  <c r="I359" i="2" s="1"/>
  <c r="I360" i="2" a="1"/>
  <c r="I360" i="2" s="1"/>
  <c r="I361" i="2" a="1"/>
  <c r="I361" i="2" s="1"/>
  <c r="I362" i="2" a="1"/>
  <c r="I362" i="2" s="1"/>
  <c r="I363" i="2" a="1"/>
  <c r="I363" i="2" s="1"/>
  <c r="I364" i="2" a="1"/>
  <c r="I364" i="2" s="1"/>
  <c r="I365" i="2" a="1"/>
  <c r="I365" i="2" s="1"/>
  <c r="I366" i="2" a="1"/>
  <c r="I366" i="2" s="1"/>
  <c r="I367" i="2" a="1"/>
  <c r="I367" i="2" s="1"/>
  <c r="I368" i="2" a="1"/>
  <c r="I368" i="2" s="1"/>
  <c r="I369" i="2" a="1"/>
  <c r="I369" i="2" s="1"/>
  <c r="I370" i="2" a="1"/>
  <c r="I370" i="2" s="1"/>
  <c r="I371" i="2" a="1"/>
  <c r="I371" i="2" s="1"/>
  <c r="I372" i="2" a="1"/>
  <c r="I372" i="2" s="1"/>
  <c r="I373" i="2" a="1"/>
  <c r="I373" i="2" s="1"/>
  <c r="I374" i="2" a="1"/>
  <c r="I374" i="2" s="1"/>
  <c r="I375" i="2" a="1"/>
  <c r="I375" i="2" s="1"/>
  <c r="I376" i="2" a="1"/>
  <c r="I376" i="2" s="1"/>
  <c r="I377" i="2" a="1"/>
  <c r="I377" i="2" s="1"/>
  <c r="I378" i="2" a="1"/>
  <c r="I378" i="2" s="1"/>
  <c r="I379" i="2" a="1"/>
  <c r="I379" i="2" s="1"/>
  <c r="I380" i="2" a="1"/>
  <c r="I380" i="2" s="1"/>
  <c r="I381" i="2" a="1"/>
  <c r="I381" i="2" s="1"/>
  <c r="I382" i="2" a="1"/>
  <c r="I382" i="2" s="1"/>
  <c r="I383" i="2" a="1"/>
  <c r="I383" i="2" s="1"/>
  <c r="I384" i="2" a="1"/>
  <c r="I384" i="2" s="1"/>
  <c r="I385" i="2" a="1"/>
  <c r="I385" i="2" s="1"/>
  <c r="I386" i="2" a="1"/>
  <c r="I386" i="2" s="1"/>
  <c r="I387" i="2" a="1"/>
  <c r="I387" i="2" s="1"/>
  <c r="I388" i="2" a="1"/>
  <c r="I388" i="2" s="1"/>
  <c r="I389" i="2" a="1"/>
  <c r="I389" i="2" s="1"/>
  <c r="I390" i="2" a="1"/>
  <c r="I390" i="2" s="1"/>
  <c r="I391" i="2" a="1"/>
  <c r="I391" i="2" s="1"/>
  <c r="I392" i="2" a="1"/>
  <c r="I392" i="2" s="1"/>
  <c r="I393" i="2" a="1"/>
  <c r="I393" i="2" s="1"/>
  <c r="I394" i="2" a="1"/>
  <c r="I394" i="2" s="1"/>
  <c r="I395" i="2" a="1"/>
  <c r="I395" i="2" s="1"/>
  <c r="I396" i="2" a="1"/>
  <c r="I396" i="2" s="1"/>
  <c r="I397" i="2" a="1"/>
  <c r="I397" i="2" s="1"/>
  <c r="I398" i="2" a="1"/>
  <c r="I398" i="2" s="1"/>
  <c r="I399" i="2" a="1"/>
  <c r="I399" i="2" s="1"/>
  <c r="I400" i="2" a="1"/>
  <c r="I400" i="2" s="1"/>
  <c r="I401" i="2" a="1"/>
  <c r="I401" i="2" s="1"/>
  <c r="I402" i="2" a="1"/>
  <c r="I402" i="2" s="1"/>
  <c r="I403" i="2" a="1"/>
  <c r="I403" i="2" s="1"/>
  <c r="I404" i="2" a="1"/>
  <c r="I404" i="2" s="1"/>
  <c r="I405" i="2" a="1"/>
  <c r="I405" i="2" s="1"/>
  <c r="I406" i="2" a="1"/>
  <c r="I406" i="2" s="1"/>
  <c r="I407" i="2" a="1"/>
  <c r="I407" i="2" s="1"/>
  <c r="I408" i="2" a="1"/>
  <c r="I408" i="2" s="1"/>
  <c r="I409" i="2" a="1"/>
  <c r="I409" i="2" s="1"/>
  <c r="I410" i="2" a="1"/>
  <c r="I410" i="2" s="1"/>
  <c r="I411" i="2" a="1"/>
  <c r="I411" i="2" s="1"/>
  <c r="I412" i="2" a="1"/>
  <c r="I412" i="2" s="1"/>
  <c r="I413" i="2" a="1"/>
  <c r="I413" i="2" s="1"/>
  <c r="I414" i="2" a="1"/>
  <c r="I414" i="2" s="1"/>
  <c r="I415" i="2" a="1"/>
  <c r="I415" i="2" s="1"/>
  <c r="I416" i="2" a="1"/>
  <c r="I416" i="2" s="1"/>
  <c r="I417" i="2" a="1"/>
  <c r="I417" i="2"/>
  <c r="I418" i="2" a="1"/>
  <c r="I418" i="2"/>
  <c r="I419" i="2" a="1"/>
  <c r="I419" i="2"/>
  <c r="I420" i="2" a="1"/>
  <c r="I420" i="2"/>
  <c r="I421" i="2" a="1"/>
  <c r="I421" i="2"/>
  <c r="I422" i="2" a="1"/>
  <c r="I422" i="2"/>
  <c r="I423" i="2" a="1"/>
  <c r="I423" i="2"/>
  <c r="I424" i="2" a="1"/>
  <c r="I424" i="2"/>
  <c r="I425" i="2" a="1"/>
  <c r="I425" i="2"/>
  <c r="I426" i="2" a="1"/>
  <c r="I426" i="2"/>
  <c r="I427" i="2" a="1"/>
  <c r="I427" i="2"/>
  <c r="I428" i="2" a="1"/>
  <c r="I428" i="2"/>
  <c r="I429" i="2" a="1"/>
  <c r="I429" i="2"/>
  <c r="I430" i="2" a="1"/>
  <c r="I430" i="2"/>
  <c r="I431" i="2" a="1"/>
  <c r="I431" i="2"/>
  <c r="I432" i="2" a="1"/>
  <c r="I432" i="2"/>
  <c r="I433" i="2" a="1"/>
  <c r="I433" i="2"/>
  <c r="I434" i="2" a="1"/>
  <c r="I434" i="2"/>
  <c r="I435" i="2" a="1"/>
  <c r="I435" i="2"/>
  <c r="I436" i="2" a="1"/>
  <c r="I436" i="2"/>
  <c r="I437" i="2" a="1"/>
  <c r="I437" i="2"/>
  <c r="I438" i="2" a="1"/>
  <c r="I438" i="2"/>
  <c r="I439" i="2" a="1"/>
  <c r="I439" i="2"/>
  <c r="I440" i="2" a="1"/>
  <c r="I440" i="2"/>
  <c r="I441" i="2" a="1"/>
  <c r="I441" i="2"/>
  <c r="I442" i="2" a="1"/>
  <c r="I442" i="2"/>
  <c r="I443" i="2" a="1"/>
  <c r="I443" i="2"/>
  <c r="I444" i="2" a="1"/>
  <c r="I444" i="2"/>
  <c r="I445" i="2" a="1"/>
  <c r="I445" i="2"/>
  <c r="I446" i="2" a="1"/>
  <c r="I446" i="2"/>
  <c r="I447" i="2" a="1"/>
  <c r="I447" i="2"/>
  <c r="I448" i="2" a="1"/>
  <c r="I448" i="2"/>
  <c r="I449" i="2" a="1"/>
  <c r="I449" i="2"/>
  <c r="I450" i="2" a="1"/>
  <c r="I450" i="2"/>
  <c r="I451" i="2" a="1"/>
  <c r="I451" i="2"/>
  <c r="I452" i="2" a="1"/>
  <c r="I452" i="2"/>
  <c r="I453" i="2" a="1"/>
  <c r="I453" i="2"/>
  <c r="I454" i="2" a="1"/>
  <c r="I454" i="2"/>
  <c r="I455" i="2" a="1"/>
  <c r="I455" i="2"/>
  <c r="I456" i="2" a="1"/>
  <c r="I456" i="2"/>
  <c r="I457" i="2" a="1"/>
  <c r="I457" i="2"/>
  <c r="I458" i="2" a="1"/>
  <c r="I458" i="2"/>
  <c r="I459" i="2" a="1"/>
  <c r="I459" i="2"/>
  <c r="I460" i="2" a="1"/>
  <c r="I460" i="2"/>
  <c r="I461" i="2" a="1"/>
  <c r="I461" i="2"/>
  <c r="I462" i="2" a="1"/>
  <c r="I462" i="2"/>
  <c r="I463" i="2" a="1"/>
  <c r="I463" i="2"/>
  <c r="I464" i="2" a="1"/>
  <c r="I464" i="2"/>
  <c r="I465" i="2" a="1"/>
  <c r="I465" i="2"/>
  <c r="I466" i="2" a="1"/>
  <c r="I466" i="2"/>
  <c r="I467" i="2" a="1"/>
  <c r="I467" i="2"/>
  <c r="I468" i="2" a="1"/>
  <c r="I468" i="2"/>
  <c r="I469" i="2" a="1"/>
  <c r="I469" i="2"/>
  <c r="I470" i="2" a="1"/>
  <c r="I470" i="2"/>
  <c r="I471" i="2" a="1"/>
  <c r="I471" i="2"/>
  <c r="I472" i="2" a="1"/>
  <c r="I472" i="2"/>
  <c r="I473" i="2" a="1"/>
  <c r="I473" i="2"/>
  <c r="I474" i="2" a="1"/>
  <c r="I474" i="2"/>
  <c r="I475" i="2" a="1"/>
  <c r="I475" i="2"/>
  <c r="I476" i="2" a="1"/>
  <c r="I476" i="2"/>
  <c r="I477" i="2" a="1"/>
  <c r="I477" i="2"/>
  <c r="I478" i="2" a="1"/>
  <c r="I478" i="2"/>
  <c r="I479" i="2" a="1"/>
  <c r="I479" i="2"/>
  <c r="I480" i="2" a="1"/>
  <c r="I480" i="2"/>
  <c r="I481" i="2" a="1"/>
  <c r="I481" i="2"/>
  <c r="I482" i="2" a="1"/>
  <c r="I482" i="2"/>
  <c r="I483" i="2" a="1"/>
  <c r="I483" i="2"/>
  <c r="I484" i="2" a="1"/>
  <c r="I484" i="2"/>
  <c r="I485" i="2" a="1"/>
  <c r="I485" i="2"/>
  <c r="I486" i="2" a="1"/>
  <c r="I486" i="2"/>
  <c r="I487" i="2" a="1"/>
  <c r="I487" i="2"/>
  <c r="I488" i="2" a="1"/>
  <c r="I488" i="2"/>
  <c r="I489" i="2" a="1"/>
  <c r="I489" i="2"/>
  <c r="I490" i="2" a="1"/>
  <c r="I490" i="2"/>
  <c r="I491" i="2" a="1"/>
  <c r="I491" i="2"/>
  <c r="I492" i="2" a="1"/>
  <c r="I492" i="2"/>
  <c r="I493" i="2" a="1"/>
  <c r="I493" i="2"/>
  <c r="I494" i="2" a="1"/>
  <c r="I494" i="2"/>
  <c r="I495" i="2" a="1"/>
  <c r="I495" i="2"/>
  <c r="I496" i="2" a="1"/>
  <c r="I496" i="2"/>
  <c r="I497" i="2" a="1"/>
  <c r="I497" i="2"/>
  <c r="I498" i="2" a="1"/>
  <c r="I498" i="2"/>
  <c r="I499" i="2" a="1"/>
  <c r="I499" i="2" s="1"/>
  <c r="I500" i="2" a="1"/>
  <c r="I500" i="2"/>
  <c r="I501" i="2" a="1"/>
  <c r="I501" i="2"/>
  <c r="I502" i="2" a="1"/>
  <c r="I502" i="2"/>
  <c r="I503" i="2" a="1"/>
  <c r="I503" i="2"/>
  <c r="I504" i="2" a="1"/>
  <c r="I504" i="2"/>
  <c r="I505" i="2" a="1"/>
  <c r="I505" i="2"/>
  <c r="I506" i="2" a="1"/>
  <c r="I506" i="2"/>
  <c r="I507" i="2" a="1"/>
  <c r="I507" i="2"/>
  <c r="I508" i="2" a="1"/>
  <c r="I508" i="2"/>
  <c r="I509" i="2" a="1"/>
  <c r="I509" i="2"/>
  <c r="I510" i="2" a="1"/>
  <c r="I510" i="2"/>
  <c r="I511" i="2" a="1"/>
  <c r="I511" i="2"/>
  <c r="I512" i="2" a="1"/>
  <c r="I512" i="2"/>
  <c r="I513" i="2" a="1"/>
  <c r="I513" i="2"/>
  <c r="I514" i="2" a="1"/>
  <c r="I514" i="2"/>
  <c r="I515" i="2" a="1"/>
  <c r="I515" i="2"/>
  <c r="I516" i="2" a="1"/>
  <c r="I516" i="2"/>
  <c r="I517" i="2" a="1"/>
  <c r="I517" i="2"/>
  <c r="I518" i="2" a="1"/>
  <c r="I518" i="2"/>
  <c r="I519" i="2" a="1"/>
  <c r="I519" i="2"/>
  <c r="I520" i="2" a="1"/>
  <c r="I520" i="2"/>
  <c r="I521" i="2" a="1"/>
  <c r="I521" i="2"/>
  <c r="I522" i="2" a="1"/>
  <c r="I522" i="2"/>
  <c r="I523" i="2" a="1"/>
  <c r="I523" i="2"/>
  <c r="I524" i="2" a="1"/>
  <c r="I524" i="2"/>
  <c r="I525" i="2" a="1"/>
  <c r="I525" i="2"/>
  <c r="I526" i="2" a="1"/>
  <c r="I526" i="2"/>
  <c r="I527" i="2" a="1"/>
  <c r="I527" i="2"/>
  <c r="I528" i="2" a="1"/>
  <c r="I528" i="2"/>
  <c r="I529" i="2" a="1"/>
  <c r="I529" i="2"/>
  <c r="I530" i="2" a="1"/>
  <c r="I530" i="2"/>
  <c r="I531" i="2" a="1"/>
  <c r="I531" i="2"/>
  <c r="I532" i="2" a="1"/>
  <c r="I532" i="2"/>
  <c r="I533" i="2" a="1"/>
  <c r="I533" i="2"/>
  <c r="I534" i="2" a="1"/>
  <c r="I534" i="2"/>
  <c r="I535" i="2" a="1"/>
  <c r="I535" i="2"/>
  <c r="I536" i="2" a="1"/>
  <c r="I536" i="2"/>
  <c r="I537" i="2" a="1"/>
  <c r="I537" i="2"/>
  <c r="I538" i="2" a="1"/>
  <c r="I538" i="2"/>
  <c r="I539" i="2" a="1"/>
  <c r="I539" i="2"/>
  <c r="I540" i="2" a="1"/>
  <c r="I540" i="2"/>
  <c r="I541" i="2" a="1"/>
  <c r="I541" i="2"/>
  <c r="I542" i="2" a="1"/>
  <c r="I542" i="2"/>
  <c r="I543" i="2" a="1"/>
  <c r="I543" i="2"/>
  <c r="I544" i="2" a="1"/>
  <c r="I544" i="2"/>
  <c r="I545" i="2" a="1"/>
  <c r="I545" i="2"/>
  <c r="I546" i="2" a="1"/>
  <c r="I546" i="2"/>
  <c r="I547" i="2" a="1"/>
  <c r="I547" i="2"/>
  <c r="I548" i="2" a="1"/>
  <c r="I548" i="2"/>
  <c r="I549" i="2" a="1"/>
  <c r="I549" i="2"/>
  <c r="I550" i="2" a="1"/>
  <c r="I550" i="2"/>
  <c r="I551" i="2" a="1"/>
  <c r="I551" i="2"/>
  <c r="I552" i="2" a="1"/>
  <c r="I552" i="2"/>
  <c r="I553" i="2" a="1"/>
  <c r="I553" i="2"/>
  <c r="I554" i="2" a="1"/>
  <c r="I554" i="2"/>
  <c r="I555" i="2" a="1"/>
  <c r="I555" i="2"/>
  <c r="I556" i="2" a="1"/>
  <c r="I556" i="2"/>
  <c r="I557" i="2" a="1"/>
  <c r="I557" i="2"/>
  <c r="I558" i="2" a="1"/>
  <c r="I558" i="2"/>
  <c r="I559" i="2" a="1"/>
  <c r="I559" i="2"/>
  <c r="I560" i="2" a="1"/>
  <c r="I560" i="2"/>
  <c r="I561" i="2" a="1"/>
  <c r="I561" i="2"/>
  <c r="I562" i="2" a="1"/>
  <c r="I562" i="2"/>
  <c r="I563" i="2" a="1"/>
  <c r="I563" i="2"/>
  <c r="I564" i="2" a="1"/>
  <c r="I564" i="2"/>
  <c r="I565" i="2" a="1"/>
  <c r="I565" i="2"/>
  <c r="I566" i="2" a="1"/>
  <c r="I566" i="2"/>
  <c r="I567" i="2" a="1"/>
  <c r="I567" i="2"/>
  <c r="I568" i="2" a="1"/>
  <c r="I568" i="2"/>
  <c r="I569" i="2" a="1"/>
  <c r="I569" i="2"/>
  <c r="I570" i="2" a="1"/>
  <c r="I570" i="2"/>
  <c r="I571" i="2" a="1"/>
  <c r="I571" i="2"/>
  <c r="I572" i="2" a="1"/>
  <c r="I572" i="2"/>
  <c r="I573" i="2" a="1"/>
  <c r="I573" i="2"/>
  <c r="I574" i="2" a="1"/>
  <c r="I574" i="2"/>
  <c r="I575" i="2" a="1"/>
  <c r="I575" i="2"/>
  <c r="I576" i="2" a="1"/>
  <c r="I576" i="2"/>
  <c r="I577" i="2" a="1"/>
  <c r="I577" i="2"/>
  <c r="I578" i="2" a="1"/>
  <c r="I578" i="2"/>
  <c r="I579" i="2" a="1"/>
  <c r="I579" i="2"/>
  <c r="I580" i="2" a="1"/>
  <c r="I580" i="2"/>
  <c r="I581" i="2" a="1"/>
  <c r="I581" i="2"/>
  <c r="I582" i="2" a="1"/>
  <c r="I582" i="2"/>
  <c r="I583" i="2" a="1"/>
  <c r="I583" i="2"/>
  <c r="I584" i="2" a="1"/>
  <c r="I584" i="2"/>
  <c r="I585" i="2" a="1"/>
  <c r="I585" i="2"/>
  <c r="I586" i="2" a="1"/>
  <c r="I586" i="2"/>
  <c r="I587" i="2" a="1"/>
  <c r="I587" i="2"/>
  <c r="I588" i="2" a="1"/>
  <c r="I588" i="2"/>
  <c r="I589" i="2" a="1"/>
  <c r="I589" i="2"/>
  <c r="I590" i="2" a="1"/>
  <c r="I590" i="2"/>
  <c r="I591" i="2" a="1"/>
  <c r="I591" i="2"/>
  <c r="I592" i="2" a="1"/>
  <c r="I592" i="2"/>
  <c r="I593" i="2" a="1"/>
  <c r="I593" i="2"/>
  <c r="I594" i="2" a="1"/>
  <c r="I594" i="2"/>
  <c r="I595" i="2" a="1"/>
  <c r="I595" i="2"/>
  <c r="I596" i="2" a="1"/>
  <c r="I596" i="2"/>
  <c r="I597" i="2" a="1"/>
  <c r="I597" i="2"/>
  <c r="I598" i="2" a="1"/>
  <c r="I598" i="2"/>
  <c r="I599" i="2" a="1"/>
  <c r="I599" i="2"/>
  <c r="I600" i="2" a="1"/>
  <c r="I600" i="2"/>
  <c r="I601" i="2" a="1"/>
  <c r="I601" i="2"/>
  <c r="I602" i="2" a="1"/>
  <c r="I602" i="2"/>
  <c r="I603" i="2" a="1"/>
  <c r="I603" i="2"/>
  <c r="I604" i="2" a="1"/>
  <c r="I604" i="2"/>
  <c r="I605" i="2" a="1"/>
  <c r="I605" i="2"/>
  <c r="I606" i="2" a="1"/>
  <c r="I606" i="2"/>
  <c r="I607" i="2" a="1"/>
  <c r="I607" i="2"/>
  <c r="I608" i="2" a="1"/>
  <c r="I608" i="2"/>
  <c r="I609" i="2" a="1"/>
  <c r="I609" i="2"/>
  <c r="I610" i="2" a="1"/>
  <c r="I610" i="2"/>
  <c r="I611" i="2" a="1"/>
  <c r="I611" i="2"/>
  <c r="I612" i="2" a="1"/>
  <c r="I612" i="2"/>
  <c r="I613" i="2" a="1"/>
  <c r="I613" i="2"/>
  <c r="I614" i="2" a="1"/>
  <c r="I614" i="2"/>
  <c r="I615" i="2" a="1"/>
  <c r="I615" i="2"/>
  <c r="I616" i="2" a="1"/>
  <c r="I616" i="2"/>
  <c r="I617" i="2" a="1"/>
  <c r="I617" i="2"/>
  <c r="I618" i="2" a="1"/>
  <c r="I618" i="2"/>
  <c r="I619" i="2" a="1"/>
  <c r="I619" i="2"/>
  <c r="I620" i="2" a="1"/>
  <c r="I620" i="2"/>
  <c r="I621" i="2" a="1"/>
  <c r="I621" i="2"/>
  <c r="I622" i="2" a="1"/>
  <c r="I622" i="2"/>
  <c r="I623" i="2" a="1"/>
  <c r="I623" i="2"/>
  <c r="I624" i="2" a="1"/>
  <c r="I624" i="2"/>
  <c r="I625" i="2" a="1"/>
  <c r="I625" i="2"/>
  <c r="I626" i="2" a="1"/>
  <c r="I626" i="2"/>
  <c r="I627" i="2" a="1"/>
  <c r="I627" i="2"/>
  <c r="I628" i="2" a="1"/>
  <c r="I628" i="2"/>
  <c r="I629" i="2" a="1"/>
  <c r="I629" i="2"/>
  <c r="I630" i="2" a="1"/>
  <c r="I630" i="2"/>
  <c r="I631" i="2" a="1"/>
  <c r="I631" i="2"/>
  <c r="I632" i="2" a="1"/>
  <c r="I632" i="2"/>
  <c r="I633" i="2" a="1"/>
  <c r="I633" i="2"/>
  <c r="I634" i="2" a="1"/>
  <c r="I634" i="2"/>
  <c r="I635" i="2" a="1"/>
  <c r="I635" i="2"/>
  <c r="I636" i="2" a="1"/>
  <c r="I636" i="2"/>
  <c r="I637" i="2" a="1"/>
  <c r="I637" i="2"/>
  <c r="I638" i="2" a="1"/>
  <c r="I638" i="2"/>
  <c r="I639" i="2" a="1"/>
  <c r="I639" i="2"/>
  <c r="I640" i="2" a="1"/>
  <c r="I640" i="2" s="1"/>
  <c r="I641" i="2" a="1"/>
  <c r="I641" i="2" s="1"/>
  <c r="I642" i="2" a="1"/>
  <c r="I642" i="2" s="1"/>
  <c r="I643" i="2" a="1"/>
  <c r="I643" i="2" s="1"/>
  <c r="I644" i="2" a="1"/>
  <c r="I644" i="2" s="1"/>
  <c r="I645" i="2" a="1"/>
  <c r="I645" i="2" s="1"/>
  <c r="I646" i="2" a="1"/>
  <c r="I646" i="2" s="1"/>
  <c r="I647" i="2" a="1"/>
  <c r="I647" i="2" s="1"/>
  <c r="I648" i="2" a="1"/>
  <c r="I648" i="2" s="1"/>
  <c r="I649" i="2" a="1"/>
  <c r="I649" i="2" s="1"/>
  <c r="I650" i="2" a="1"/>
  <c r="I650" i="2" s="1"/>
  <c r="I651" i="2" a="1"/>
  <c r="I651" i="2" s="1"/>
  <c r="I652" i="2" a="1"/>
  <c r="I652" i="2" s="1"/>
  <c r="I653" i="2" a="1"/>
  <c r="I653" i="2" s="1"/>
  <c r="I654" i="2" a="1"/>
  <c r="I654" i="2" s="1"/>
  <c r="I655" i="2" a="1"/>
  <c r="I655" i="2" s="1"/>
  <c r="I656" i="2" a="1"/>
  <c r="I656" i="2" s="1"/>
  <c r="I657" i="2" a="1"/>
  <c r="I657" i="2" s="1"/>
  <c r="I658" i="2" a="1"/>
  <c r="I658" i="2" s="1"/>
  <c r="I659" i="2" a="1"/>
  <c r="I659" i="2" s="1"/>
  <c r="I660" i="2" a="1"/>
  <c r="I660" i="2" s="1"/>
  <c r="I661" i="2" a="1"/>
  <c r="I661" i="2" s="1"/>
  <c r="I662" i="2" a="1"/>
  <c r="I662" i="2" s="1"/>
  <c r="I663" i="2" a="1"/>
  <c r="I663" i="2"/>
  <c r="I664" i="2" a="1"/>
  <c r="I664" i="2" s="1"/>
  <c r="I665" i="2" a="1"/>
  <c r="I665" i="2"/>
  <c r="I666" i="2" a="1"/>
  <c r="I666" i="2"/>
  <c r="I667" i="2" a="1"/>
  <c r="I667" i="2"/>
  <c r="I668" i="2" a="1"/>
  <c r="I668" i="2"/>
  <c r="I669" i="2" a="1"/>
  <c r="I669" i="2"/>
  <c r="I670" i="2" a="1"/>
  <c r="I670" i="2"/>
  <c r="I671" i="2" a="1"/>
  <c r="I671" i="2"/>
  <c r="I672" i="2" a="1"/>
  <c r="I672" i="2"/>
  <c r="I673" i="2" a="1"/>
  <c r="I673" i="2"/>
  <c r="I674" i="2" a="1"/>
  <c r="I674" i="2"/>
  <c r="I675" i="2" a="1"/>
  <c r="I675" i="2"/>
  <c r="I676" i="2" a="1"/>
  <c r="I676" i="2"/>
  <c r="I677" i="2" a="1"/>
  <c r="I677" i="2"/>
  <c r="I678" i="2" a="1"/>
  <c r="I678" i="2"/>
  <c r="I679" i="2" a="1"/>
  <c r="I679" i="2"/>
  <c r="I680" i="2" a="1"/>
  <c r="I680" i="2"/>
  <c r="I681" i="2" a="1"/>
  <c r="I681" i="2"/>
  <c r="I682" i="2" a="1"/>
  <c r="I682" i="2"/>
  <c r="I683" i="2" a="1"/>
  <c r="I683" i="2"/>
  <c r="I684" i="2" a="1"/>
  <c r="I684" i="2"/>
  <c r="I685" i="2" a="1"/>
  <c r="I685" i="2"/>
  <c r="I686" i="2" a="1"/>
  <c r="I686" i="2"/>
  <c r="I687" i="2" a="1"/>
  <c r="I687" i="2"/>
  <c r="I688" i="2" a="1"/>
  <c r="I688" i="2"/>
  <c r="I689" i="2" a="1"/>
  <c r="I689" i="2"/>
  <c r="I690" i="2" a="1"/>
  <c r="I690" i="2"/>
  <c r="I691" i="2" a="1"/>
  <c r="I691" i="2"/>
  <c r="I692" i="2" a="1"/>
  <c r="I692" i="2"/>
  <c r="I693" i="2" a="1"/>
  <c r="I693" i="2"/>
  <c r="I694" i="2" a="1"/>
  <c r="I694" i="2"/>
  <c r="I695" i="2" a="1"/>
  <c r="I695" i="2"/>
  <c r="I696" i="2" a="1"/>
  <c r="I696" i="2"/>
  <c r="I697" i="2" a="1"/>
  <c r="I697" i="2"/>
  <c r="I698" i="2" a="1"/>
  <c r="I698" i="2"/>
  <c r="I699" i="2" a="1"/>
  <c r="I699" i="2"/>
  <c r="I700" i="2" a="1"/>
  <c r="I700" i="2"/>
  <c r="I701" i="2" a="1"/>
  <c r="I701" i="2"/>
  <c r="I702" i="2" a="1"/>
  <c r="I702" i="2"/>
  <c r="I703" i="2" a="1"/>
  <c r="I703" i="2"/>
  <c r="I704" i="2" a="1"/>
  <c r="I704" i="2"/>
  <c r="I705" i="2" a="1"/>
  <c r="I705" i="2"/>
  <c r="I706" i="2" a="1"/>
  <c r="I706" i="2"/>
  <c r="I707" i="2" a="1"/>
  <c r="I707" i="2"/>
  <c r="I708" i="2" a="1"/>
  <c r="I708" i="2"/>
  <c r="I709" i="2" a="1"/>
  <c r="I709" i="2"/>
  <c r="I710" i="2" a="1"/>
  <c r="I710" i="2"/>
  <c r="I711" i="2" a="1"/>
  <c r="I711" i="2"/>
  <c r="I712" i="2" a="1"/>
  <c r="I712" i="2"/>
  <c r="I713" i="2" a="1"/>
  <c r="I713" i="2"/>
  <c r="I714" i="2" a="1"/>
  <c r="I714" i="2"/>
  <c r="I715" i="2" a="1"/>
  <c r="I715" i="2"/>
  <c r="I716" i="2" a="1"/>
  <c r="I716" i="2"/>
  <c r="I717" i="2" a="1"/>
  <c r="I717" i="2"/>
  <c r="I718" i="2" a="1"/>
  <c r="I718" i="2"/>
  <c r="I719" i="2" a="1"/>
  <c r="I719" i="2"/>
  <c r="I720" i="2" a="1"/>
  <c r="I720" i="2"/>
  <c r="I721" i="2" a="1"/>
  <c r="I721" i="2"/>
  <c r="I722" i="2" a="1"/>
  <c r="I722" i="2"/>
  <c r="I723" i="2" a="1"/>
  <c r="I723" i="2"/>
  <c r="I724" i="2" a="1"/>
  <c r="I724" i="2"/>
  <c r="I725" i="2" a="1"/>
  <c r="I725" i="2"/>
  <c r="I726" i="2" a="1"/>
  <c r="I726" i="2"/>
  <c r="I727" i="2" a="1"/>
  <c r="I727" i="2"/>
  <c r="I728" i="2" a="1"/>
  <c r="I728" i="2"/>
  <c r="I729" i="2" a="1"/>
  <c r="I729" i="2"/>
  <c r="I730" i="2" a="1"/>
  <c r="I730" i="2"/>
  <c r="I731" i="2" a="1"/>
  <c r="I731" i="2"/>
  <c r="I732" i="2" a="1"/>
  <c r="I732" i="2"/>
  <c r="I733" i="2" a="1"/>
  <c r="I733" i="2"/>
  <c r="I734" i="2" a="1"/>
  <c r="I734" i="2"/>
  <c r="I735" i="2" a="1"/>
  <c r="I735" i="2"/>
  <c r="I736" i="2" a="1"/>
  <c r="I736" i="2"/>
  <c r="I737" i="2" a="1"/>
  <c r="I737" i="2"/>
  <c r="I738" i="2" a="1"/>
  <c r="I738" i="2"/>
  <c r="I739" i="2" a="1"/>
  <c r="I739" i="2"/>
  <c r="I740" i="2" a="1"/>
  <c r="I740" i="2"/>
  <c r="I741" i="2" a="1"/>
  <c r="I741" i="2"/>
  <c r="I742" i="2" a="1"/>
  <c r="I742" i="2"/>
  <c r="I743" i="2" a="1"/>
  <c r="I743" i="2"/>
  <c r="I744" i="2" a="1"/>
  <c r="I744" i="2"/>
  <c r="I745" i="2" a="1"/>
  <c r="I745" i="2"/>
  <c r="I746" i="2" a="1"/>
  <c r="I746" i="2"/>
  <c r="I747" i="2" a="1"/>
  <c r="I747" i="2"/>
  <c r="I748" i="2" a="1"/>
  <c r="I748" i="2"/>
  <c r="I749" i="2" a="1"/>
  <c r="I749" i="2"/>
  <c r="I750" i="2" a="1"/>
  <c r="I750" i="2"/>
  <c r="I751" i="2" a="1"/>
  <c r="I751" i="2"/>
  <c r="I752" i="2" a="1"/>
  <c r="I752" i="2"/>
  <c r="I753" i="2" a="1"/>
  <c r="I753" i="2"/>
  <c r="I754" i="2" a="1"/>
  <c r="I754" i="2"/>
  <c r="I755" i="2" a="1"/>
  <c r="I755" i="2"/>
  <c r="I756" i="2" a="1"/>
  <c r="I756" i="2"/>
  <c r="I757" i="2" a="1"/>
  <c r="I757" i="2"/>
  <c r="I758" i="2" a="1"/>
  <c r="I758" i="2"/>
  <c r="I759" i="2" a="1"/>
  <c r="I759" i="2"/>
  <c r="I760" i="2" a="1"/>
  <c r="I760" i="2"/>
  <c r="I761" i="2" a="1"/>
  <c r="I761" i="2"/>
  <c r="I762" i="2" a="1"/>
  <c r="I762" i="2"/>
  <c r="I763" i="2" a="1"/>
  <c r="I763" i="2"/>
  <c r="I764" i="2" a="1"/>
  <c r="I764" i="2"/>
  <c r="I765" i="2" a="1"/>
  <c r="I765" i="2"/>
  <c r="I766" i="2" a="1"/>
  <c r="I766" i="2"/>
  <c r="I767" i="2" a="1"/>
  <c r="I767" i="2"/>
  <c r="I768" i="2" a="1"/>
  <c r="I768" i="2"/>
  <c r="I769" i="2" a="1"/>
  <c r="I769" i="2"/>
  <c r="I770" i="2" a="1"/>
  <c r="I770" i="2"/>
  <c r="I771" i="2" a="1"/>
  <c r="I771" i="2"/>
  <c r="I772" i="2" a="1"/>
  <c r="I772" i="2"/>
  <c r="I773" i="2" a="1"/>
  <c r="I773" i="2"/>
  <c r="I774" i="2" a="1"/>
  <c r="I774" i="2"/>
  <c r="I775" i="2" a="1"/>
  <c r="I775" i="2"/>
  <c r="I776" i="2" a="1"/>
  <c r="I776" i="2"/>
  <c r="I777" i="2" a="1"/>
  <c r="I777" i="2"/>
  <c r="I778" i="2" a="1"/>
  <c r="I778" i="2"/>
  <c r="I779" i="2" a="1"/>
  <c r="I779" i="2"/>
  <c r="I780" i="2" a="1"/>
  <c r="I780" i="2"/>
  <c r="I781" i="2" a="1"/>
  <c r="I781" i="2"/>
  <c r="I782" i="2" a="1"/>
  <c r="I782" i="2"/>
  <c r="I783" i="2" a="1"/>
  <c r="I783" i="2"/>
  <c r="I784" i="2" a="1"/>
  <c r="I784" i="2"/>
  <c r="I785" i="2" a="1"/>
  <c r="I785" i="2"/>
  <c r="I786" i="2" a="1"/>
  <c r="I786" i="2"/>
  <c r="I787" i="2" a="1"/>
  <c r="I787" i="2"/>
  <c r="I788" i="2" a="1"/>
  <c r="I788" i="2"/>
  <c r="I789" i="2" a="1"/>
  <c r="I789" i="2"/>
  <c r="I790" i="2" a="1"/>
  <c r="I790" i="2"/>
  <c r="I791" i="2" a="1"/>
  <c r="I791" i="2"/>
  <c r="I792" i="2" a="1"/>
  <c r="I792" i="2"/>
  <c r="I793" i="2" a="1"/>
  <c r="I793" i="2"/>
  <c r="I794" i="2" a="1"/>
  <c r="I794" i="2"/>
  <c r="I795" i="2" a="1"/>
  <c r="I795" i="2"/>
  <c r="I796" i="2" a="1"/>
  <c r="I796" i="2"/>
  <c r="I797" i="2" a="1"/>
  <c r="I797" i="2"/>
  <c r="I798" i="2" a="1"/>
  <c r="I798" i="2"/>
  <c r="I799" i="2" a="1"/>
  <c r="I799" i="2"/>
  <c r="I800" i="2" a="1"/>
  <c r="I800" i="2"/>
  <c r="I801" i="2" a="1"/>
  <c r="I801" i="2"/>
  <c r="I802" i="2" a="1"/>
  <c r="I802" i="2"/>
  <c r="I803" i="2" a="1"/>
  <c r="I803" i="2"/>
  <c r="I804" i="2" a="1"/>
  <c r="I804" i="2"/>
  <c r="I805" i="2" a="1"/>
  <c r="I805" i="2"/>
  <c r="I806" i="2" a="1"/>
  <c r="I806" i="2"/>
  <c r="I807" i="2" a="1"/>
  <c r="I807" i="2"/>
  <c r="I808" i="2" a="1"/>
  <c r="I808" i="2"/>
  <c r="I809" i="2" a="1"/>
  <c r="I809" i="2"/>
  <c r="I810" i="2" a="1"/>
  <c r="I810" i="2"/>
  <c r="I811" i="2" a="1"/>
  <c r="I811" i="2"/>
  <c r="I812" i="2" a="1"/>
  <c r="I812" i="2"/>
  <c r="I813" i="2" a="1"/>
  <c r="I813" i="2"/>
  <c r="I814" i="2" a="1"/>
  <c r="I814" i="2"/>
  <c r="I815" i="2" a="1"/>
  <c r="I815" i="2"/>
  <c r="I816" i="2" a="1"/>
  <c r="I816" i="2"/>
  <c r="I817" i="2" a="1"/>
  <c r="I817" i="2" s="1"/>
  <c r="I818" i="2" a="1"/>
  <c r="I818" i="2" s="1"/>
  <c r="I819" i="2" a="1"/>
  <c r="I819" i="2" s="1"/>
  <c r="I820" i="2" a="1"/>
  <c r="I820" i="2"/>
  <c r="I821" i="2" a="1"/>
  <c r="I821" i="2" s="1"/>
  <c r="I822" i="2" a="1"/>
  <c r="I822" i="2"/>
  <c r="I823" i="2" a="1"/>
  <c r="I823" i="2" s="1"/>
  <c r="I824" i="2" a="1"/>
  <c r="I824" i="2" s="1"/>
  <c r="I825" i="2" a="1"/>
  <c r="I825" i="2" s="1"/>
  <c r="I826" i="2" a="1"/>
  <c r="I826" i="2" s="1"/>
  <c r="I827" i="2" a="1"/>
  <c r="I827" i="2" s="1"/>
  <c r="I828" i="2" a="1"/>
  <c r="I828" i="2" s="1"/>
  <c r="I829" i="2" a="1"/>
  <c r="I829" i="2" s="1"/>
  <c r="I830" i="2" a="1"/>
  <c r="I830" i="2" s="1"/>
  <c r="I831" i="2" a="1"/>
  <c r="I831" i="2"/>
  <c r="I832" i="2" a="1"/>
  <c r="I832" i="2"/>
  <c r="I833" i="2" a="1"/>
  <c r="I833" i="2"/>
  <c r="I834" i="2" a="1"/>
  <c r="I834" i="2"/>
  <c r="I835" i="2" a="1"/>
  <c r="I835" i="2"/>
  <c r="I836" i="2" a="1"/>
  <c r="I836" i="2"/>
  <c r="I837" i="2" a="1"/>
  <c r="I837" i="2"/>
  <c r="I838" i="2" a="1"/>
  <c r="I838" i="2"/>
  <c r="I839" i="2" a="1"/>
  <c r="I839" i="2"/>
  <c r="I840" i="2" a="1"/>
  <c r="I840" i="2"/>
  <c r="I841" i="2" a="1"/>
  <c r="I841" i="2"/>
  <c r="I842" i="2" a="1"/>
  <c r="I842" i="2"/>
  <c r="I843" i="2" a="1"/>
  <c r="I843" i="2"/>
  <c r="I844" i="2" a="1"/>
  <c r="I844" i="2"/>
  <c r="I845" i="2" a="1"/>
  <c r="I845" i="2"/>
  <c r="I846" i="2" a="1"/>
  <c r="I846" i="2"/>
  <c r="I847" i="2" a="1"/>
  <c r="I847" i="2"/>
  <c r="I848" i="2" a="1"/>
  <c r="I848" i="2"/>
  <c r="I849" i="2" a="1"/>
  <c r="I849" i="2"/>
  <c r="I850" i="2" a="1"/>
  <c r="I850" i="2"/>
  <c r="I851" i="2" a="1"/>
  <c r="I851" i="2"/>
  <c r="I852" i="2" a="1"/>
  <c r="I852" i="2"/>
  <c r="I853" i="2" a="1"/>
  <c r="I853" i="2"/>
  <c r="I854" i="2" a="1"/>
  <c r="I854" i="2"/>
  <c r="I855" i="2" a="1"/>
  <c r="I855" i="2"/>
  <c r="I856" i="2" a="1"/>
  <c r="I856" i="2"/>
  <c r="I857" i="2" a="1"/>
  <c r="I857" i="2"/>
  <c r="I858" i="2" a="1"/>
  <c r="I858" i="2"/>
  <c r="I859" i="2" a="1"/>
  <c r="I859" i="2"/>
  <c r="I860" i="2" a="1"/>
  <c r="I860" i="2"/>
  <c r="I861" i="2" a="1"/>
  <c r="I861" i="2"/>
  <c r="I862" i="2" a="1"/>
  <c r="I862" i="2"/>
  <c r="I863" i="2" a="1"/>
  <c r="I863" i="2"/>
  <c r="I864" i="2" a="1"/>
  <c r="I864" i="2"/>
  <c r="I865" i="2" a="1"/>
  <c r="I865" i="2"/>
  <c r="I866" i="2" a="1"/>
  <c r="I866" i="2"/>
  <c r="I867" i="2" a="1"/>
  <c r="I867" i="2"/>
  <c r="I868" i="2" a="1"/>
  <c r="I868" i="2"/>
  <c r="I869" i="2" a="1"/>
  <c r="I869" i="2"/>
  <c r="I870" i="2" a="1"/>
  <c r="I870" i="2"/>
  <c r="I871" i="2" a="1"/>
  <c r="I871" i="2"/>
  <c r="I872" i="2" a="1"/>
  <c r="I872" i="2"/>
  <c r="I873" i="2" a="1"/>
  <c r="I873" i="2"/>
  <c r="I874" i="2" a="1"/>
  <c r="I874" i="2"/>
  <c r="I875" i="2" a="1"/>
  <c r="I875" i="2"/>
  <c r="I876" i="2" a="1"/>
  <c r="I876" i="2"/>
  <c r="I877" i="2" a="1"/>
  <c r="I877" i="2"/>
  <c r="I878" i="2" a="1"/>
  <c r="I878" i="2"/>
  <c r="I879" i="2" a="1"/>
  <c r="I879" i="2"/>
  <c r="I880" i="2" a="1"/>
  <c r="I880" i="2"/>
  <c r="I881" i="2" a="1"/>
  <c r="I881" i="2"/>
  <c r="I882" i="2" a="1"/>
  <c r="I882" i="2"/>
  <c r="I883" i="2" a="1"/>
  <c r="I883" i="2"/>
  <c r="I884" i="2" a="1"/>
  <c r="I884" i="2"/>
  <c r="I885" i="2" a="1"/>
  <c r="I885" i="2"/>
  <c r="I886" i="2" a="1"/>
  <c r="I886" i="2"/>
  <c r="I887" i="2" a="1"/>
  <c r="I887" i="2"/>
  <c r="I888" i="2" a="1"/>
  <c r="I888" i="2"/>
  <c r="I889" i="2" a="1"/>
  <c r="I889" i="2"/>
  <c r="I890" i="2" a="1"/>
  <c r="I890" i="2"/>
  <c r="I891" i="2" a="1"/>
  <c r="I891" i="2"/>
  <c r="I892" i="2" a="1"/>
  <c r="I892" i="2"/>
  <c r="I893" i="2" a="1"/>
  <c r="I893" i="2"/>
  <c r="I894" i="2" a="1"/>
  <c r="I894" i="2"/>
  <c r="I895" i="2" a="1"/>
  <c r="I895" i="2"/>
  <c r="I896" i="2" a="1"/>
  <c r="I896" i="2"/>
  <c r="I897" i="2" a="1"/>
  <c r="I897" i="2"/>
  <c r="I898" i="2" a="1"/>
  <c r="I898" i="2"/>
  <c r="I899" i="2" a="1"/>
  <c r="I899" i="2"/>
  <c r="I900" i="2" a="1"/>
  <c r="I900" i="2"/>
  <c r="I901" i="2" a="1"/>
  <c r="I901" i="2"/>
  <c r="I902" i="2" a="1"/>
  <c r="I902" i="2"/>
  <c r="I903" i="2" a="1"/>
  <c r="I903" i="2"/>
  <c r="I904" i="2" a="1"/>
  <c r="I904" i="2"/>
  <c r="I905" i="2" a="1"/>
  <c r="I905" i="2"/>
  <c r="I906" i="2" a="1"/>
  <c r="I906" i="2"/>
  <c r="I907" i="2" a="1"/>
  <c r="I907" i="2"/>
  <c r="I908" i="2" a="1"/>
  <c r="I908" i="2"/>
  <c r="I909" i="2" a="1"/>
  <c r="I909" i="2"/>
  <c r="I910" i="2" a="1"/>
  <c r="I910" i="2"/>
  <c r="I911" i="2" a="1"/>
  <c r="I911" i="2"/>
  <c r="I912" i="2" a="1"/>
  <c r="I912" i="2"/>
  <c r="I913" i="2" a="1"/>
  <c r="I913" i="2"/>
  <c r="I914" i="2" a="1"/>
  <c r="I914" i="2"/>
  <c r="I915" i="2" a="1"/>
  <c r="I915" i="2"/>
  <c r="I916" i="2" a="1"/>
  <c r="I916" i="2"/>
  <c r="I917" i="2" a="1"/>
  <c r="I917" i="2"/>
  <c r="I918" i="2" a="1"/>
  <c r="I918" i="2"/>
  <c r="I919" i="2" a="1"/>
  <c r="I919" i="2"/>
  <c r="I920" i="2" a="1"/>
  <c r="I920" i="2"/>
  <c r="I921" i="2" a="1"/>
  <c r="I921" i="2"/>
  <c r="I922" i="2" a="1"/>
  <c r="I922" i="2"/>
  <c r="I923" i="2" a="1"/>
  <c r="I923" i="2"/>
  <c r="I924" i="2" a="1"/>
  <c r="I924" i="2"/>
  <c r="I925" i="2" a="1"/>
  <c r="I925" i="2"/>
  <c r="I926" i="2" a="1"/>
  <c r="I926" i="2"/>
  <c r="I927" i="2" a="1"/>
  <c r="I927" i="2"/>
  <c r="I928" i="2" a="1"/>
  <c r="I928" i="2"/>
  <c r="I929" i="2" a="1"/>
  <c r="I929" i="2"/>
  <c r="I930" i="2" a="1"/>
  <c r="I930" i="2"/>
  <c r="I931" i="2" a="1"/>
  <c r="I931" i="2"/>
  <c r="I932" i="2" a="1"/>
  <c r="I932" i="2"/>
  <c r="I933" i="2" a="1"/>
  <c r="I933" i="2"/>
  <c r="I934" i="2" a="1"/>
  <c r="I934" i="2"/>
  <c r="I935" i="2" a="1"/>
  <c r="I935" i="2"/>
  <c r="I936" i="2" a="1"/>
  <c r="I936" i="2"/>
  <c r="I937" i="2" a="1"/>
  <c r="I937" i="2"/>
  <c r="I938" i="2" a="1"/>
  <c r="I938" i="2"/>
  <c r="I939" i="2" a="1"/>
  <c r="I939" i="2"/>
  <c r="I940" i="2" a="1"/>
  <c r="I940" i="2"/>
  <c r="I941" i="2" a="1"/>
  <c r="I941" i="2"/>
  <c r="I942" i="2" a="1"/>
  <c r="I942" i="2"/>
  <c r="I943" i="2" a="1"/>
  <c r="I943" i="2"/>
  <c r="I944" i="2" a="1"/>
  <c r="I944" i="2"/>
  <c r="I945" i="2" a="1"/>
  <c r="I945" i="2"/>
  <c r="I946" i="2" a="1"/>
  <c r="I946" i="2"/>
  <c r="I947" i="2" a="1"/>
  <c r="I947" i="2"/>
  <c r="I948" i="2" a="1"/>
  <c r="I948" i="2"/>
  <c r="I949" i="2" a="1"/>
  <c r="I949" i="2"/>
  <c r="I950" i="2" a="1"/>
  <c r="I950" i="2"/>
  <c r="I951" i="2" a="1"/>
  <c r="I951" i="2"/>
  <c r="I952" i="2" a="1"/>
  <c r="I952" i="2"/>
  <c r="I953" i="2" a="1"/>
  <c r="I953" i="2"/>
  <c r="I954" i="2" a="1"/>
  <c r="I954" i="2"/>
  <c r="I955" i="2" a="1"/>
  <c r="I955" i="2"/>
  <c r="I956" i="2" a="1"/>
  <c r="I956" i="2"/>
  <c r="I957" i="2" a="1"/>
  <c r="I957" i="2"/>
  <c r="I958" i="2" a="1"/>
  <c r="I958" i="2"/>
  <c r="I959" i="2" a="1"/>
  <c r="I959" i="2"/>
  <c r="I960" i="2" a="1"/>
  <c r="I960" i="2"/>
  <c r="I961" i="2" a="1"/>
  <c r="I961" i="2"/>
  <c r="I962" i="2" a="1"/>
  <c r="I962" i="2"/>
  <c r="I963" i="2" a="1"/>
  <c r="I963" i="2"/>
  <c r="I964" i="2" a="1"/>
  <c r="I964" i="2"/>
  <c r="I965" i="2" a="1"/>
  <c r="I965" i="2"/>
  <c r="I966" i="2" a="1"/>
  <c r="I966" i="2"/>
  <c r="I967" i="2" a="1"/>
  <c r="I967" i="2"/>
  <c r="I968" i="2" a="1"/>
  <c r="I968" i="2"/>
  <c r="I969" i="2" a="1"/>
  <c r="I969" i="2"/>
  <c r="I970" i="2" a="1"/>
  <c r="I970" i="2"/>
  <c r="I971" i="2" a="1"/>
  <c r="I971" i="2"/>
  <c r="I972" i="2" a="1"/>
  <c r="I972" i="2"/>
  <c r="I973" i="2" a="1"/>
  <c r="I973" i="2"/>
  <c r="I974" i="2" a="1"/>
  <c r="I974" i="2"/>
  <c r="I975" i="2" a="1"/>
  <c r="I975" i="2"/>
  <c r="I976" i="2" a="1"/>
  <c r="I976" i="2"/>
  <c r="I977" i="2" a="1"/>
  <c r="I977" i="2"/>
  <c r="I978" i="2" a="1"/>
  <c r="I978" i="2"/>
  <c r="I979" i="2" a="1"/>
  <c r="I979" i="2"/>
  <c r="I980" i="2" a="1"/>
  <c r="I980" i="2"/>
  <c r="I981" i="2" a="1"/>
  <c r="I981" i="2"/>
  <c r="I982" i="2" a="1"/>
  <c r="I982" i="2"/>
  <c r="I983" i="2" a="1"/>
  <c r="I983" i="2"/>
  <c r="I984" i="2" a="1"/>
  <c r="I984" i="2"/>
  <c r="I985" i="2" a="1"/>
  <c r="I985" i="2"/>
  <c r="I986" i="2" a="1"/>
  <c r="I986" i="2"/>
  <c r="I987" i="2" a="1"/>
  <c r="I987" i="2"/>
  <c r="I988" i="2" a="1"/>
  <c r="I988" i="2"/>
  <c r="I989" i="2" a="1"/>
  <c r="I989" i="2"/>
  <c r="I990" i="2" a="1"/>
  <c r="I990" i="2"/>
  <c r="I991" i="2" a="1"/>
  <c r="I991" i="2"/>
  <c r="I992" i="2" a="1"/>
  <c r="I992" i="2"/>
  <c r="I993" i="2" a="1"/>
  <c r="I993" i="2"/>
  <c r="I994" i="2" a="1"/>
  <c r="I994" i="2"/>
  <c r="I995" i="2" a="1"/>
  <c r="I995" i="2"/>
  <c r="I996" i="2" a="1"/>
  <c r="I99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BD50FF4-0A7B-40F1-94FA-BC625FAA8547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2" xr16:uid="{380380F9-858D-4F0B-B949-7EEBD1F10600}" keepAlive="1" name="Query - Sales" description="Connection to the 'Sales' query in the workbook." type="5" refreshedVersion="8" background="1" saveData="1">
    <dbPr connection="Provider=Microsoft.Mashup.OleDb.1;Data Source=$Workbook$;Location=Sales;Extended Properties=&quot;&quot;" command="SELECT * FROM [Sales]"/>
  </connection>
  <connection id="3" xr16:uid="{C499A1A7-ABBF-4280-91D0-648F5D9B270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0C2243A5-0623-4183-8769-B8C150A62457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5AB2BB49-BBEE-450E-AD4A-B239E19474C8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<sst xmlns="http://schemas.openxmlformats.org/spreadsheetml/2006/main" count="1004" uniqueCount="13">
  <si>
    <t>SaleID</t>
  </si>
  <si>
    <t>CustomerID</t>
  </si>
  <si>
    <t>ProductID</t>
  </si>
  <si>
    <t>BranchID</t>
  </si>
  <si>
    <t>Date</t>
  </si>
  <si>
    <t>Quantity</t>
  </si>
  <si>
    <t>TotalAmount</t>
  </si>
  <si>
    <t>PaymentMethod</t>
  </si>
  <si>
    <t>Bank Transfer</t>
  </si>
  <si>
    <t>Credit Card</t>
  </si>
  <si>
    <t>Cash</t>
  </si>
  <si>
    <t>PayPal</t>
  </si>
  <si>
    <t>PaymentID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</si>
</sst>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34F5947E-DD0C-427D-B3E5-A4EAB73236A7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SaleID" tableColumnId="1"/>
      <queryTableField id="2" name="CustomerID" tableColumnId="2"/>
      <queryTableField id="3" name="ProductID" tableColumnId="3"/>
      <queryTableField id="4" name="BranchID" tableColumnId="4"/>
      <queryTableField id="5" name="Date" tableColumnId="5"/>
      <queryTableField id="6" name="Quantity" tableColumnId="6"/>
      <queryTableField id="7" name="TotalAmount" tableColumnId="7"/>
      <queryTableField id="8" name="PaymentMethod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0AFD95-C4D8-4B85-8C79-272403E4DB5C}" name="Sales" displayName="Sales" ref="A1:I996" tableType="queryTable" totalsRowShown="0">
  <autoFilter ref="A1:I996" xr:uid="{770AFD95-C4D8-4B85-8C79-272403E4DB5C}"/>
  <tableColumns count="9">
    <tableColumn id="1" xr3:uid="{36DF03BE-AF84-4812-BCC2-5F75719A512B}" uniqueName="1" name="SaleID" queryTableFieldId="1"/>
    <tableColumn id="2" xr3:uid="{F83F9A9C-8C7C-43AC-94DF-E68850D98928}" uniqueName="2" name="CustomerID" queryTableFieldId="2"/>
    <tableColumn id="3" xr3:uid="{65894794-4BA4-4245-BBCA-42E13ABB885D}" uniqueName="3" name="ProductID" queryTableFieldId="3"/>
    <tableColumn id="4" xr3:uid="{AF0B8E35-99D5-4F46-981E-3AF17F905D29}" uniqueName="4" name="BranchID" queryTableFieldId="4"/>
    <tableColumn id="5" xr3:uid="{C28941D7-B271-45DC-86A6-B9CBA7317063}" uniqueName="5" name="Date" queryTableFieldId="5" dataDxfId="2"/>
    <tableColumn id="6" xr3:uid="{FA43AA78-753A-497D-A383-F7F8AFCEBA1B}" uniqueName="6" name="Quantity" queryTableFieldId="6"/>
    <tableColumn id="7" xr3:uid="{46D63635-AE83-409D-8E13-EA9B5F3814B8}" uniqueName="7" name="TotalAmount" queryTableFieldId="7"/>
    <tableColumn id="8" xr3:uid="{F8680DF7-3C23-4B32-B6B5-398110C76709}" uniqueName="8" name="PaymentMethod" queryTableFieldId="8" dataDxfId="1"/>
    <tableColumn id="9" xr3:uid="{7842EFB7-5291-4969-8DDB-19AD7D7CCBCA}" uniqueName="9" name="PaymentID" queryTableFieldId="9" dataDxfId="0">
      <calculatedColumnFormula array="1">_xlfn.IFS(H2="Credit Card",1,H2="PayPal",2,H2="Cash",3,H2="Bank Transfer",4,TRUE,5)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01410-ACF8-44D2-9128-E1A82EC90629}">
  <dimension ref="A1:I996"/>
  <sheetViews>
    <sheetView tabSelected="1" workbookViewId="0">
      <selection activeCell="J1" sqref="J1"/>
    </sheetView>
  </sheetViews>
  <sheetFormatPr defaultRowHeight="14.4" x14ac:dyDescent="0.3"/>
  <cols>
    <col min="1" max="1" width="8.44140625" bestFit="1" customWidth="1"/>
    <col min="2" max="2" width="13.109375" bestFit="1" customWidth="1"/>
    <col min="3" max="3" width="11.6640625" bestFit="1" customWidth="1"/>
    <col min="4" max="4" width="10.88671875" bestFit="1" customWidth="1"/>
    <col min="5" max="5" width="10.33203125" bestFit="1" customWidth="1"/>
    <col min="6" max="6" width="10.5546875" bestFit="1" customWidth="1"/>
    <col min="7" max="7" width="14.33203125" bestFit="1" customWidth="1"/>
    <col min="8" max="8" width="17.6640625" bestFit="1" customWidth="1"/>
    <col min="9" max="9" width="12.66406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</row>
    <row r="2" spans="1:9" x14ac:dyDescent="0.3">
      <c r="A2">
        <v>1</v>
      </c>
      <c r="B2">
        <v>915</v>
      </c>
      <c r="C2">
        <v>535</v>
      </c>
      <c r="D2">
        <v>5</v>
      </c>
      <c r="E2" s="1">
        <v>45282</v>
      </c>
      <c r="F2">
        <v>11</v>
      </c>
      <c r="G2">
        <v>363.05</v>
      </c>
      <c r="H2" t="s">
        <v>8</v>
      </c>
      <c r="I2" cm="1">
        <f t="array" ref="I2">_xlfn.IFS(H2="Credit Card",1,H2="PayPal",2,H2="Cash",3,H2="Bank Transfer",4,TRUE,5)</f>
        <v>4</v>
      </c>
    </row>
    <row r="3" spans="1:9" x14ac:dyDescent="0.3">
      <c r="A3">
        <v>2</v>
      </c>
      <c r="B3">
        <v>912</v>
      </c>
      <c r="C3">
        <v>998</v>
      </c>
      <c r="D3">
        <v>2</v>
      </c>
      <c r="E3" s="1">
        <v>45275</v>
      </c>
      <c r="F3">
        <v>5</v>
      </c>
      <c r="G3">
        <v>407.39</v>
      </c>
      <c r="H3" t="s">
        <v>9</v>
      </c>
      <c r="I3" cm="1">
        <f t="array" ref="I3">_xlfn.IFS(H3="Credit Card",1,H3="PayPal",2,H3="Cash",3,H3="Bank Transfer",4,TRUE,5)</f>
        <v>1</v>
      </c>
    </row>
    <row r="4" spans="1:9" x14ac:dyDescent="0.3">
      <c r="A4">
        <v>8</v>
      </c>
      <c r="B4">
        <v>779</v>
      </c>
      <c r="C4">
        <v>90</v>
      </c>
      <c r="D4">
        <v>3</v>
      </c>
      <c r="E4" s="1">
        <v>45284</v>
      </c>
      <c r="F4">
        <v>15</v>
      </c>
      <c r="G4">
        <v>450.92</v>
      </c>
      <c r="H4" t="s">
        <v>10</v>
      </c>
      <c r="I4" cm="1">
        <f t="array" ref="I4">_xlfn.IFS(H4="Credit Card",1,H4="PayPal",2,H4="Cash",3,H4="Bank Transfer",4,TRUE,5)</f>
        <v>3</v>
      </c>
    </row>
    <row r="5" spans="1:9" x14ac:dyDescent="0.3">
      <c r="A5">
        <v>34</v>
      </c>
      <c r="B5">
        <v>137</v>
      </c>
      <c r="C5">
        <v>428</v>
      </c>
      <c r="D5">
        <v>5</v>
      </c>
      <c r="E5" s="1">
        <v>45275</v>
      </c>
      <c r="F5">
        <v>7</v>
      </c>
      <c r="G5">
        <v>1498.53</v>
      </c>
      <c r="H5" t="s">
        <v>8</v>
      </c>
      <c r="I5" cm="1">
        <f t="array" ref="I5">_xlfn.IFS(H5="Credit Card",1,H5="PayPal",2,H5="Cash",3,H5="Bank Transfer",4,TRUE,5)</f>
        <v>4</v>
      </c>
    </row>
    <row r="6" spans="1:9" x14ac:dyDescent="0.3">
      <c r="A6">
        <v>67</v>
      </c>
      <c r="B6">
        <v>25</v>
      </c>
      <c r="C6">
        <v>934</v>
      </c>
      <c r="D6">
        <v>1</v>
      </c>
      <c r="E6" s="1">
        <v>45284</v>
      </c>
      <c r="F6">
        <v>11</v>
      </c>
      <c r="G6">
        <v>1716.84</v>
      </c>
      <c r="H6" t="s">
        <v>8</v>
      </c>
      <c r="I6" cm="1">
        <f t="array" ref="I6">_xlfn.IFS(H6="Credit Card",1,H6="PayPal",2,H6="Cash",3,H6="Bank Transfer",4,TRUE,5)</f>
        <v>4</v>
      </c>
    </row>
    <row r="7" spans="1:9" x14ac:dyDescent="0.3">
      <c r="A7">
        <v>70</v>
      </c>
      <c r="B7">
        <v>296</v>
      </c>
      <c r="C7">
        <v>233</v>
      </c>
      <c r="D7">
        <v>5</v>
      </c>
      <c r="E7" s="1">
        <v>45267</v>
      </c>
      <c r="F7">
        <v>4</v>
      </c>
      <c r="G7">
        <v>773.38</v>
      </c>
      <c r="H7" t="s">
        <v>11</v>
      </c>
      <c r="I7" cm="1">
        <f t="array" ref="I7">_xlfn.IFS(H7="Credit Card",1,H7="PayPal",2,H7="Cash",3,H7="Bank Transfer",4,TRUE,5)</f>
        <v>2</v>
      </c>
    </row>
    <row r="8" spans="1:9" x14ac:dyDescent="0.3">
      <c r="A8">
        <v>72</v>
      </c>
      <c r="B8">
        <v>586</v>
      </c>
      <c r="C8">
        <v>996</v>
      </c>
      <c r="D8">
        <v>4</v>
      </c>
      <c r="E8" s="1">
        <v>45282</v>
      </c>
      <c r="F8">
        <v>4</v>
      </c>
      <c r="G8">
        <v>1882.6</v>
      </c>
      <c r="H8" t="s">
        <v>9</v>
      </c>
      <c r="I8" cm="1">
        <f t="array" ref="I8">_xlfn.IFS(H8="Credit Card",1,H8="PayPal",2,H8="Cash",3,H8="Bank Transfer",4,TRUE,5)</f>
        <v>1</v>
      </c>
    </row>
    <row r="9" spans="1:9" x14ac:dyDescent="0.3">
      <c r="A9">
        <v>93</v>
      </c>
      <c r="B9">
        <v>161</v>
      </c>
      <c r="C9">
        <v>840</v>
      </c>
      <c r="D9">
        <v>5</v>
      </c>
      <c r="E9" s="1">
        <v>45284</v>
      </c>
      <c r="F9">
        <v>1</v>
      </c>
      <c r="G9">
        <v>36.46</v>
      </c>
      <c r="H9" t="s">
        <v>11</v>
      </c>
      <c r="I9" cm="1">
        <f t="array" ref="I9">_xlfn.IFS(H9="Credit Card",1,H9="PayPal",2,H9="Cash",3,H9="Bank Transfer",4,TRUE,5)</f>
        <v>2</v>
      </c>
    </row>
    <row r="10" spans="1:9" x14ac:dyDescent="0.3">
      <c r="A10">
        <v>118</v>
      </c>
      <c r="B10">
        <v>770</v>
      </c>
      <c r="C10">
        <v>566</v>
      </c>
      <c r="D10">
        <v>5</v>
      </c>
      <c r="E10" s="1">
        <v>45280</v>
      </c>
      <c r="F10">
        <v>6</v>
      </c>
      <c r="G10">
        <v>888.21</v>
      </c>
      <c r="H10" t="s">
        <v>11</v>
      </c>
      <c r="I10" cm="1">
        <f t="array" ref="I10">_xlfn.IFS(H10="Credit Card",1,H10="PayPal",2,H10="Cash",3,H10="Bank Transfer",4,TRUE,5)</f>
        <v>2</v>
      </c>
    </row>
    <row r="11" spans="1:9" x14ac:dyDescent="0.3">
      <c r="A11">
        <v>137</v>
      </c>
      <c r="B11">
        <v>528</v>
      </c>
      <c r="C11">
        <v>783</v>
      </c>
      <c r="D11">
        <v>3</v>
      </c>
      <c r="E11" s="1">
        <v>45279</v>
      </c>
      <c r="F11">
        <v>14</v>
      </c>
      <c r="G11">
        <v>1137.22</v>
      </c>
      <c r="H11" t="s">
        <v>9</v>
      </c>
      <c r="I11" cm="1">
        <f t="array" ref="I11">_xlfn.IFS(H11="Credit Card",1,H11="PayPal",2,H11="Cash",3,H11="Bank Transfer",4,TRUE,5)</f>
        <v>1</v>
      </c>
    </row>
    <row r="12" spans="1:9" x14ac:dyDescent="0.3">
      <c r="A12">
        <v>190</v>
      </c>
      <c r="B12">
        <v>968</v>
      </c>
      <c r="C12">
        <v>451</v>
      </c>
      <c r="D12">
        <v>5</v>
      </c>
      <c r="E12" s="1">
        <v>45285</v>
      </c>
      <c r="F12">
        <v>2</v>
      </c>
      <c r="G12">
        <v>1407.01</v>
      </c>
      <c r="H12" t="s">
        <v>9</v>
      </c>
      <c r="I12" cm="1">
        <f t="array" ref="I12">_xlfn.IFS(H12="Credit Card",1,H12="PayPal",2,H12="Cash",3,H12="Bank Transfer",4,TRUE,5)</f>
        <v>1</v>
      </c>
    </row>
    <row r="13" spans="1:9" x14ac:dyDescent="0.3">
      <c r="A13">
        <v>210</v>
      </c>
      <c r="B13">
        <v>905</v>
      </c>
      <c r="C13">
        <v>636</v>
      </c>
      <c r="D13">
        <v>5</v>
      </c>
      <c r="E13" s="1">
        <v>45277</v>
      </c>
      <c r="F13">
        <v>5</v>
      </c>
      <c r="G13">
        <v>1480.94</v>
      </c>
      <c r="H13" t="s">
        <v>10</v>
      </c>
      <c r="I13" cm="1">
        <f t="array" ref="I13">_xlfn.IFS(H13="Credit Card",1,H13="PayPal",2,H13="Cash",3,H13="Bank Transfer",4,TRUE,5)</f>
        <v>3</v>
      </c>
    </row>
    <row r="14" spans="1:9" x14ac:dyDescent="0.3">
      <c r="A14">
        <v>212</v>
      </c>
      <c r="B14">
        <v>49</v>
      </c>
      <c r="C14">
        <v>995</v>
      </c>
      <c r="D14">
        <v>2</v>
      </c>
      <c r="E14" s="1">
        <v>45290</v>
      </c>
      <c r="F14">
        <v>8</v>
      </c>
      <c r="G14">
        <v>286.2</v>
      </c>
      <c r="H14" t="s">
        <v>10</v>
      </c>
      <c r="I14" cm="1">
        <f t="array" ref="I14">_xlfn.IFS(H14="Credit Card",1,H14="PayPal",2,H14="Cash",3,H14="Bank Transfer",4,TRUE,5)</f>
        <v>3</v>
      </c>
    </row>
    <row r="15" spans="1:9" x14ac:dyDescent="0.3">
      <c r="A15">
        <v>213</v>
      </c>
      <c r="B15">
        <v>629</v>
      </c>
      <c r="C15">
        <v>16</v>
      </c>
      <c r="D15">
        <v>4</v>
      </c>
      <c r="E15" s="1">
        <v>45272</v>
      </c>
      <c r="F15">
        <v>9</v>
      </c>
      <c r="G15">
        <v>1951.71</v>
      </c>
      <c r="H15" t="s">
        <v>9</v>
      </c>
      <c r="I15" cm="1">
        <f t="array" ref="I15">_xlfn.IFS(H15="Credit Card",1,H15="PayPal",2,H15="Cash",3,H15="Bank Transfer",4,TRUE,5)</f>
        <v>1</v>
      </c>
    </row>
    <row r="16" spans="1:9" x14ac:dyDescent="0.3">
      <c r="A16">
        <v>221</v>
      </c>
      <c r="B16">
        <v>373</v>
      </c>
      <c r="C16">
        <v>73</v>
      </c>
      <c r="D16">
        <v>3</v>
      </c>
      <c r="E16" s="1">
        <v>45282</v>
      </c>
      <c r="F16">
        <v>12</v>
      </c>
      <c r="G16">
        <v>1479.53</v>
      </c>
      <c r="H16" t="s">
        <v>8</v>
      </c>
      <c r="I16" cm="1">
        <f t="array" ref="I16">_xlfn.IFS(H16="Credit Card",1,H16="PayPal",2,H16="Cash",3,H16="Bank Transfer",4,TRUE,5)</f>
        <v>4</v>
      </c>
    </row>
    <row r="17" spans="1:9" x14ac:dyDescent="0.3">
      <c r="A17">
        <v>224</v>
      </c>
      <c r="B17">
        <v>567</v>
      </c>
      <c r="C17">
        <v>560</v>
      </c>
      <c r="D17">
        <v>1</v>
      </c>
      <c r="E17" s="1">
        <v>45275</v>
      </c>
      <c r="F17">
        <v>15</v>
      </c>
      <c r="G17">
        <v>56.42</v>
      </c>
      <c r="H17" t="s">
        <v>9</v>
      </c>
      <c r="I17" cm="1">
        <f t="array" ref="I17">_xlfn.IFS(H17="Credit Card",1,H17="PayPal",2,H17="Cash",3,H17="Bank Transfer",4,TRUE,5)</f>
        <v>1</v>
      </c>
    </row>
    <row r="18" spans="1:9" x14ac:dyDescent="0.3">
      <c r="A18">
        <v>239</v>
      </c>
      <c r="B18">
        <v>330</v>
      </c>
      <c r="C18">
        <v>313</v>
      </c>
      <c r="D18">
        <v>3</v>
      </c>
      <c r="E18" s="1">
        <v>45284</v>
      </c>
      <c r="F18">
        <v>7</v>
      </c>
      <c r="G18">
        <v>1828.82</v>
      </c>
      <c r="H18" t="s">
        <v>11</v>
      </c>
      <c r="I18" cm="1">
        <f t="array" ref="I18">_xlfn.IFS(H18="Credit Card",1,H18="PayPal",2,H18="Cash",3,H18="Bank Transfer",4,TRUE,5)</f>
        <v>2</v>
      </c>
    </row>
    <row r="19" spans="1:9" x14ac:dyDescent="0.3">
      <c r="A19">
        <v>313</v>
      </c>
      <c r="B19">
        <v>695</v>
      </c>
      <c r="C19">
        <v>139</v>
      </c>
      <c r="D19">
        <v>2</v>
      </c>
      <c r="E19" s="1">
        <v>45281</v>
      </c>
      <c r="F19">
        <v>13</v>
      </c>
      <c r="G19">
        <v>1535.25</v>
      </c>
      <c r="H19" t="s">
        <v>8</v>
      </c>
      <c r="I19" cm="1">
        <f t="array" ref="I19">_xlfn.IFS(H19="Credit Card",1,H19="PayPal",2,H19="Cash",3,H19="Bank Transfer",4,TRUE,5)</f>
        <v>4</v>
      </c>
    </row>
    <row r="20" spans="1:9" x14ac:dyDescent="0.3">
      <c r="A20">
        <v>317</v>
      </c>
      <c r="B20">
        <v>424</v>
      </c>
      <c r="C20">
        <v>446</v>
      </c>
      <c r="D20">
        <v>5</v>
      </c>
      <c r="E20" s="1">
        <v>45281</v>
      </c>
      <c r="F20">
        <v>6</v>
      </c>
      <c r="G20">
        <v>1024.43</v>
      </c>
      <c r="H20" t="s">
        <v>9</v>
      </c>
      <c r="I20" cm="1">
        <f t="array" ref="I20">_xlfn.IFS(H20="Credit Card",1,H20="PayPal",2,H20="Cash",3,H20="Bank Transfer",4,TRUE,5)</f>
        <v>1</v>
      </c>
    </row>
    <row r="21" spans="1:9" x14ac:dyDescent="0.3">
      <c r="A21">
        <v>332</v>
      </c>
      <c r="B21">
        <v>128</v>
      </c>
      <c r="C21">
        <v>1000</v>
      </c>
      <c r="D21">
        <v>4</v>
      </c>
      <c r="E21" s="1">
        <v>45272</v>
      </c>
      <c r="F21">
        <v>18</v>
      </c>
      <c r="G21">
        <v>1518.75</v>
      </c>
      <c r="H21" t="s">
        <v>8</v>
      </c>
      <c r="I21" cm="1">
        <f t="array" ref="I21">_xlfn.IFS(H21="Credit Card",1,H21="PayPal",2,H21="Cash",3,H21="Bank Transfer",4,TRUE,5)</f>
        <v>4</v>
      </c>
    </row>
    <row r="22" spans="1:9" x14ac:dyDescent="0.3">
      <c r="A22">
        <v>341</v>
      </c>
      <c r="B22">
        <v>295</v>
      </c>
      <c r="C22">
        <v>163</v>
      </c>
      <c r="D22">
        <v>4</v>
      </c>
      <c r="E22" s="1">
        <v>45270</v>
      </c>
      <c r="F22">
        <v>19</v>
      </c>
      <c r="G22">
        <v>29.11</v>
      </c>
      <c r="H22" t="s">
        <v>10</v>
      </c>
      <c r="I22" cm="1">
        <f t="array" ref="I22">_xlfn.IFS(H22="Credit Card",1,H22="PayPal",2,H22="Cash",3,H22="Bank Transfer",4,TRUE,5)</f>
        <v>3</v>
      </c>
    </row>
    <row r="23" spans="1:9" x14ac:dyDescent="0.3">
      <c r="A23">
        <v>357</v>
      </c>
      <c r="B23">
        <v>921</v>
      </c>
      <c r="C23">
        <v>852</v>
      </c>
      <c r="D23">
        <v>4</v>
      </c>
      <c r="E23" s="1">
        <v>45271</v>
      </c>
      <c r="F23">
        <v>9</v>
      </c>
      <c r="G23">
        <v>1821.59</v>
      </c>
      <c r="H23" t="s">
        <v>11</v>
      </c>
      <c r="I23" cm="1">
        <f t="array" ref="I23">_xlfn.IFS(H23="Credit Card",1,H23="PayPal",2,H23="Cash",3,H23="Bank Transfer",4,TRUE,5)</f>
        <v>2</v>
      </c>
    </row>
    <row r="24" spans="1:9" x14ac:dyDescent="0.3">
      <c r="A24">
        <v>361</v>
      </c>
      <c r="B24">
        <v>838</v>
      </c>
      <c r="C24">
        <v>354</v>
      </c>
      <c r="D24">
        <v>5</v>
      </c>
      <c r="E24" s="1">
        <v>45273</v>
      </c>
      <c r="F24">
        <v>10</v>
      </c>
      <c r="G24">
        <v>389.59</v>
      </c>
      <c r="H24" t="s">
        <v>11</v>
      </c>
      <c r="I24" cm="1">
        <f t="array" ref="I24">_xlfn.IFS(H24="Credit Card",1,H24="PayPal",2,H24="Cash",3,H24="Bank Transfer",4,TRUE,5)</f>
        <v>2</v>
      </c>
    </row>
    <row r="25" spans="1:9" x14ac:dyDescent="0.3">
      <c r="A25">
        <v>369</v>
      </c>
      <c r="B25">
        <v>697</v>
      </c>
      <c r="C25">
        <v>746</v>
      </c>
      <c r="D25">
        <v>4</v>
      </c>
      <c r="E25" s="1">
        <v>45279</v>
      </c>
      <c r="F25">
        <v>8</v>
      </c>
      <c r="G25">
        <v>1374.66</v>
      </c>
      <c r="H25" t="s">
        <v>10</v>
      </c>
      <c r="I25" cm="1">
        <f t="array" ref="I25">_xlfn.IFS(H25="Credit Card",1,H25="PayPal",2,H25="Cash",3,H25="Bank Transfer",4,TRUE,5)</f>
        <v>3</v>
      </c>
    </row>
    <row r="26" spans="1:9" x14ac:dyDescent="0.3">
      <c r="A26">
        <v>396</v>
      </c>
      <c r="B26">
        <v>460</v>
      </c>
      <c r="C26">
        <v>918</v>
      </c>
      <c r="D26">
        <v>3</v>
      </c>
      <c r="E26" s="1">
        <v>45289</v>
      </c>
      <c r="F26">
        <v>2</v>
      </c>
      <c r="G26">
        <v>1652.21</v>
      </c>
      <c r="H26" t="s">
        <v>11</v>
      </c>
      <c r="I26" cm="1">
        <f t="array" ref="I26">_xlfn.IFS(H26="Credit Card",1,H26="PayPal",2,H26="Cash",3,H26="Bank Transfer",4,TRUE,5)</f>
        <v>2</v>
      </c>
    </row>
    <row r="27" spans="1:9" x14ac:dyDescent="0.3">
      <c r="A27">
        <v>440</v>
      </c>
      <c r="B27">
        <v>159</v>
      </c>
      <c r="C27">
        <v>311</v>
      </c>
      <c r="D27">
        <v>1</v>
      </c>
      <c r="E27" s="1">
        <v>45277</v>
      </c>
      <c r="F27">
        <v>5</v>
      </c>
      <c r="G27">
        <v>1059.51</v>
      </c>
      <c r="H27" t="s">
        <v>10</v>
      </c>
      <c r="I27" cm="1">
        <f t="array" ref="I27">_xlfn.IFS(H27="Credit Card",1,H27="PayPal",2,H27="Cash",3,H27="Bank Transfer",4,TRUE,5)</f>
        <v>3</v>
      </c>
    </row>
    <row r="28" spans="1:9" x14ac:dyDescent="0.3">
      <c r="A28">
        <v>451</v>
      </c>
      <c r="B28">
        <v>372</v>
      </c>
      <c r="C28">
        <v>2</v>
      </c>
      <c r="D28">
        <v>5</v>
      </c>
      <c r="E28" s="1">
        <v>45291</v>
      </c>
      <c r="F28">
        <v>19</v>
      </c>
      <c r="G28">
        <v>570.41999999999996</v>
      </c>
      <c r="H28" t="s">
        <v>9</v>
      </c>
      <c r="I28" cm="1">
        <f t="array" ref="I28">_xlfn.IFS(H28="Credit Card",1,H28="PayPal",2,H28="Cash",3,H28="Bank Transfer",4,TRUE,5)</f>
        <v>1</v>
      </c>
    </row>
    <row r="29" spans="1:9" x14ac:dyDescent="0.3">
      <c r="A29">
        <v>465</v>
      </c>
      <c r="B29">
        <v>89</v>
      </c>
      <c r="C29">
        <v>628</v>
      </c>
      <c r="D29">
        <v>1</v>
      </c>
      <c r="E29" s="1">
        <v>45285</v>
      </c>
      <c r="F29">
        <v>12</v>
      </c>
      <c r="G29">
        <v>185.6</v>
      </c>
      <c r="H29" t="s">
        <v>9</v>
      </c>
      <c r="I29" cm="1">
        <f t="array" ref="I29">_xlfn.IFS(H29="Credit Card",1,H29="PayPal",2,H29="Cash",3,H29="Bank Transfer",4,TRUE,5)</f>
        <v>1</v>
      </c>
    </row>
    <row r="30" spans="1:9" x14ac:dyDescent="0.3">
      <c r="A30">
        <v>470</v>
      </c>
      <c r="B30">
        <v>301</v>
      </c>
      <c r="C30">
        <v>158</v>
      </c>
      <c r="D30">
        <v>5</v>
      </c>
      <c r="E30" s="1">
        <v>45289</v>
      </c>
      <c r="F30">
        <v>14</v>
      </c>
      <c r="G30">
        <v>872.97</v>
      </c>
      <c r="H30" t="s">
        <v>9</v>
      </c>
      <c r="I30" cm="1">
        <f t="array" ref="I30">_xlfn.IFS(H30="Credit Card",1,H30="PayPal",2,H30="Cash",3,H30="Bank Transfer",4,TRUE,5)</f>
        <v>1</v>
      </c>
    </row>
    <row r="31" spans="1:9" x14ac:dyDescent="0.3">
      <c r="A31">
        <v>474</v>
      </c>
      <c r="B31">
        <v>169</v>
      </c>
      <c r="C31">
        <v>439</v>
      </c>
      <c r="D31">
        <v>2</v>
      </c>
      <c r="E31" s="1">
        <v>45267</v>
      </c>
      <c r="F31">
        <v>8</v>
      </c>
      <c r="G31">
        <v>1369.92</v>
      </c>
      <c r="H31" t="s">
        <v>8</v>
      </c>
      <c r="I31" cm="1">
        <f t="array" ref="I31">_xlfn.IFS(H31="Credit Card",1,H31="PayPal",2,H31="Cash",3,H31="Bank Transfer",4,TRUE,5)</f>
        <v>4</v>
      </c>
    </row>
    <row r="32" spans="1:9" x14ac:dyDescent="0.3">
      <c r="A32">
        <v>484</v>
      </c>
      <c r="B32">
        <v>655</v>
      </c>
      <c r="C32">
        <v>232</v>
      </c>
      <c r="D32">
        <v>4</v>
      </c>
      <c r="E32" s="1">
        <v>45289</v>
      </c>
      <c r="F32">
        <v>12</v>
      </c>
      <c r="G32">
        <v>1321.62</v>
      </c>
      <c r="H32" t="s">
        <v>10</v>
      </c>
      <c r="I32" cm="1">
        <f t="array" ref="I32">_xlfn.IFS(H32="Credit Card",1,H32="PayPal",2,H32="Cash",3,H32="Bank Transfer",4,TRUE,5)</f>
        <v>3</v>
      </c>
    </row>
    <row r="33" spans="1:9" x14ac:dyDescent="0.3">
      <c r="A33">
        <v>487</v>
      </c>
      <c r="B33">
        <v>881</v>
      </c>
      <c r="C33">
        <v>788</v>
      </c>
      <c r="D33">
        <v>3</v>
      </c>
      <c r="E33" s="1">
        <v>45288</v>
      </c>
      <c r="F33">
        <v>1</v>
      </c>
      <c r="G33">
        <v>613.32000000000005</v>
      </c>
      <c r="H33" t="s">
        <v>9</v>
      </c>
      <c r="I33" cm="1">
        <f t="array" ref="I33">_xlfn.IFS(H33="Credit Card",1,H33="PayPal",2,H33="Cash",3,H33="Bank Transfer",4,TRUE,5)</f>
        <v>1</v>
      </c>
    </row>
    <row r="34" spans="1:9" x14ac:dyDescent="0.3">
      <c r="A34">
        <v>489</v>
      </c>
      <c r="B34">
        <v>340</v>
      </c>
      <c r="C34">
        <v>671</v>
      </c>
      <c r="D34">
        <v>3</v>
      </c>
      <c r="E34" s="1">
        <v>45267</v>
      </c>
      <c r="F34">
        <v>18</v>
      </c>
      <c r="G34">
        <v>1062.97</v>
      </c>
      <c r="H34" t="s">
        <v>8</v>
      </c>
      <c r="I34" cm="1">
        <f t="array" ref="I34">_xlfn.IFS(H34="Credit Card",1,H34="PayPal",2,H34="Cash",3,H34="Bank Transfer",4,TRUE,5)</f>
        <v>4</v>
      </c>
    </row>
    <row r="35" spans="1:9" x14ac:dyDescent="0.3">
      <c r="A35">
        <v>497</v>
      </c>
      <c r="B35">
        <v>268</v>
      </c>
      <c r="C35">
        <v>754</v>
      </c>
      <c r="D35">
        <v>4</v>
      </c>
      <c r="E35" s="1">
        <v>45284</v>
      </c>
      <c r="F35">
        <v>16</v>
      </c>
      <c r="G35">
        <v>1111.6199999999999</v>
      </c>
      <c r="H35" t="s">
        <v>9</v>
      </c>
      <c r="I35" cm="1">
        <f t="array" ref="I35">_xlfn.IFS(H35="Credit Card",1,H35="PayPal",2,H35="Cash",3,H35="Bank Transfer",4,TRUE,5)</f>
        <v>1</v>
      </c>
    </row>
    <row r="36" spans="1:9" x14ac:dyDescent="0.3">
      <c r="A36">
        <v>500</v>
      </c>
      <c r="B36">
        <v>76</v>
      </c>
      <c r="C36">
        <v>168</v>
      </c>
      <c r="D36">
        <v>1</v>
      </c>
      <c r="E36" s="1">
        <v>45275</v>
      </c>
      <c r="F36">
        <v>15</v>
      </c>
      <c r="G36">
        <v>1652.75</v>
      </c>
      <c r="H36" t="s">
        <v>10</v>
      </c>
      <c r="I36" cm="1">
        <f t="array" ref="I36">_xlfn.IFS(H36="Credit Card",1,H36="PayPal",2,H36="Cash",3,H36="Bank Transfer",4,TRUE,5)</f>
        <v>3</v>
      </c>
    </row>
    <row r="37" spans="1:9" x14ac:dyDescent="0.3">
      <c r="A37">
        <v>528</v>
      </c>
      <c r="B37">
        <v>642</v>
      </c>
      <c r="C37">
        <v>837</v>
      </c>
      <c r="D37">
        <v>5</v>
      </c>
      <c r="E37" s="1">
        <v>45277</v>
      </c>
      <c r="F37">
        <v>6</v>
      </c>
      <c r="G37">
        <v>1912.67</v>
      </c>
      <c r="H37" t="s">
        <v>11</v>
      </c>
      <c r="I37" cm="1">
        <f t="array" ref="I37">_xlfn.IFS(H37="Credit Card",1,H37="PayPal",2,H37="Cash",3,H37="Bank Transfer",4,TRUE,5)</f>
        <v>2</v>
      </c>
    </row>
    <row r="38" spans="1:9" x14ac:dyDescent="0.3">
      <c r="A38">
        <v>549</v>
      </c>
      <c r="B38">
        <v>570</v>
      </c>
      <c r="C38">
        <v>654</v>
      </c>
      <c r="D38">
        <v>2</v>
      </c>
      <c r="E38" s="1">
        <v>45290</v>
      </c>
      <c r="F38">
        <v>19</v>
      </c>
      <c r="G38">
        <v>470.96</v>
      </c>
      <c r="H38" t="s">
        <v>9</v>
      </c>
      <c r="I38" cm="1">
        <f t="array" ref="I38">_xlfn.IFS(H38="Credit Card",1,H38="PayPal",2,H38="Cash",3,H38="Bank Transfer",4,TRUE,5)</f>
        <v>1</v>
      </c>
    </row>
    <row r="39" spans="1:9" x14ac:dyDescent="0.3">
      <c r="A39">
        <v>564</v>
      </c>
      <c r="B39">
        <v>377</v>
      </c>
      <c r="C39">
        <v>501</v>
      </c>
      <c r="D39">
        <v>3</v>
      </c>
      <c r="E39" s="1">
        <v>45275</v>
      </c>
      <c r="F39">
        <v>12</v>
      </c>
      <c r="G39">
        <v>72.540000000000006</v>
      </c>
      <c r="H39" t="s">
        <v>10</v>
      </c>
      <c r="I39" cm="1">
        <f t="array" ref="I39">_xlfn.IFS(H39="Credit Card",1,H39="PayPal",2,H39="Cash",3,H39="Bank Transfer",4,TRUE,5)</f>
        <v>3</v>
      </c>
    </row>
    <row r="40" spans="1:9" x14ac:dyDescent="0.3">
      <c r="A40">
        <v>580</v>
      </c>
      <c r="B40">
        <v>875</v>
      </c>
      <c r="C40">
        <v>23</v>
      </c>
      <c r="D40">
        <v>4</v>
      </c>
      <c r="E40" s="1">
        <v>45276</v>
      </c>
      <c r="F40">
        <v>7</v>
      </c>
      <c r="G40">
        <v>1726.9</v>
      </c>
      <c r="H40" t="s">
        <v>8</v>
      </c>
      <c r="I40" cm="1">
        <f t="array" ref="I40">_xlfn.IFS(H40="Credit Card",1,H40="PayPal",2,H40="Cash",3,H40="Bank Transfer",4,TRUE,5)</f>
        <v>4</v>
      </c>
    </row>
    <row r="41" spans="1:9" x14ac:dyDescent="0.3">
      <c r="A41">
        <v>633</v>
      </c>
      <c r="B41">
        <v>191</v>
      </c>
      <c r="C41">
        <v>931</v>
      </c>
      <c r="D41">
        <v>5</v>
      </c>
      <c r="E41" s="1">
        <v>45288</v>
      </c>
      <c r="F41">
        <v>16</v>
      </c>
      <c r="G41">
        <v>968.04</v>
      </c>
      <c r="H41" t="s">
        <v>8</v>
      </c>
      <c r="I41" cm="1">
        <f t="array" ref="I41">_xlfn.IFS(H41="Credit Card",1,H41="PayPal",2,H41="Cash",3,H41="Bank Transfer",4,TRUE,5)</f>
        <v>4</v>
      </c>
    </row>
    <row r="42" spans="1:9" x14ac:dyDescent="0.3">
      <c r="A42">
        <v>652</v>
      </c>
      <c r="B42">
        <v>698</v>
      </c>
      <c r="C42">
        <v>301</v>
      </c>
      <c r="D42">
        <v>5</v>
      </c>
      <c r="E42" s="1">
        <v>45279</v>
      </c>
      <c r="F42">
        <v>1</v>
      </c>
      <c r="G42">
        <v>999.26</v>
      </c>
      <c r="H42" t="s">
        <v>8</v>
      </c>
      <c r="I42" cm="1">
        <f t="array" ref="I42">_xlfn.IFS(H42="Credit Card",1,H42="PayPal",2,H42="Cash",3,H42="Bank Transfer",4,TRUE,5)</f>
        <v>4</v>
      </c>
    </row>
    <row r="43" spans="1:9" x14ac:dyDescent="0.3">
      <c r="A43">
        <v>656</v>
      </c>
      <c r="B43">
        <v>11</v>
      </c>
      <c r="C43">
        <v>11</v>
      </c>
      <c r="D43">
        <v>1</v>
      </c>
      <c r="E43" s="1">
        <v>45284</v>
      </c>
      <c r="F43">
        <v>9</v>
      </c>
      <c r="G43">
        <v>1334.37</v>
      </c>
      <c r="H43" t="s">
        <v>9</v>
      </c>
      <c r="I43" cm="1">
        <f t="array" ref="I43">_xlfn.IFS(H43="Credit Card",1,H43="PayPal",2,H43="Cash",3,H43="Bank Transfer",4,TRUE,5)</f>
        <v>1</v>
      </c>
    </row>
    <row r="44" spans="1:9" x14ac:dyDescent="0.3">
      <c r="A44">
        <v>697</v>
      </c>
      <c r="B44">
        <v>821</v>
      </c>
      <c r="C44">
        <v>622</v>
      </c>
      <c r="D44">
        <v>4</v>
      </c>
      <c r="E44" s="1">
        <v>45273</v>
      </c>
      <c r="F44">
        <v>13</v>
      </c>
      <c r="G44">
        <v>1550.12</v>
      </c>
      <c r="H44" t="s">
        <v>8</v>
      </c>
      <c r="I44" cm="1">
        <f t="array" ref="I44">_xlfn.IFS(H44="Credit Card",1,H44="PayPal",2,H44="Cash",3,H44="Bank Transfer",4,TRUE,5)</f>
        <v>4</v>
      </c>
    </row>
    <row r="45" spans="1:9" x14ac:dyDescent="0.3">
      <c r="A45">
        <v>704</v>
      </c>
      <c r="B45">
        <v>778</v>
      </c>
      <c r="C45">
        <v>931</v>
      </c>
      <c r="D45">
        <v>3</v>
      </c>
      <c r="E45" s="1">
        <v>45277</v>
      </c>
      <c r="F45">
        <v>2</v>
      </c>
      <c r="G45">
        <v>915.42</v>
      </c>
      <c r="H45" t="s">
        <v>11</v>
      </c>
      <c r="I45" cm="1">
        <f t="array" ref="I45">_xlfn.IFS(H45="Credit Card",1,H45="PayPal",2,H45="Cash",3,H45="Bank Transfer",4,TRUE,5)</f>
        <v>2</v>
      </c>
    </row>
    <row r="46" spans="1:9" x14ac:dyDescent="0.3">
      <c r="A46">
        <v>714</v>
      </c>
      <c r="B46">
        <v>13</v>
      </c>
      <c r="C46">
        <v>498</v>
      </c>
      <c r="D46">
        <v>2</v>
      </c>
      <c r="E46" s="1">
        <v>45268</v>
      </c>
      <c r="F46">
        <v>4</v>
      </c>
      <c r="G46">
        <v>1749.63</v>
      </c>
      <c r="H46" t="s">
        <v>8</v>
      </c>
      <c r="I46" cm="1">
        <f t="array" ref="I46">_xlfn.IFS(H46="Credit Card",1,H46="PayPal",2,H46="Cash",3,H46="Bank Transfer",4,TRUE,5)</f>
        <v>4</v>
      </c>
    </row>
    <row r="47" spans="1:9" x14ac:dyDescent="0.3">
      <c r="A47">
        <v>722</v>
      </c>
      <c r="B47">
        <v>644</v>
      </c>
      <c r="C47">
        <v>403</v>
      </c>
      <c r="D47">
        <v>4</v>
      </c>
      <c r="E47" s="1">
        <v>45278</v>
      </c>
      <c r="F47">
        <v>19</v>
      </c>
      <c r="G47">
        <v>1932.77</v>
      </c>
      <c r="H47" t="s">
        <v>10</v>
      </c>
      <c r="I47" cm="1">
        <f t="array" ref="I47">_xlfn.IFS(H47="Credit Card",1,H47="PayPal",2,H47="Cash",3,H47="Bank Transfer",4,TRUE,5)</f>
        <v>3</v>
      </c>
    </row>
    <row r="48" spans="1:9" x14ac:dyDescent="0.3">
      <c r="A48">
        <v>769</v>
      </c>
      <c r="B48">
        <v>230</v>
      </c>
      <c r="C48">
        <v>573</v>
      </c>
      <c r="D48">
        <v>2</v>
      </c>
      <c r="E48" s="1">
        <v>45288</v>
      </c>
      <c r="F48">
        <v>20</v>
      </c>
      <c r="G48">
        <v>1740.15</v>
      </c>
      <c r="H48" t="s">
        <v>9</v>
      </c>
      <c r="I48" cm="1">
        <f t="array" ref="I48">_xlfn.IFS(H48="Credit Card",1,H48="PayPal",2,H48="Cash",3,H48="Bank Transfer",4,TRUE,5)</f>
        <v>1</v>
      </c>
    </row>
    <row r="49" spans="1:9" x14ac:dyDescent="0.3">
      <c r="A49">
        <v>782</v>
      </c>
      <c r="B49">
        <v>22</v>
      </c>
      <c r="C49">
        <v>832</v>
      </c>
      <c r="D49">
        <v>1</v>
      </c>
      <c r="E49" s="1">
        <v>45290</v>
      </c>
      <c r="F49">
        <v>1</v>
      </c>
      <c r="G49">
        <v>1732.81</v>
      </c>
      <c r="H49" t="s">
        <v>11</v>
      </c>
      <c r="I49" cm="1">
        <f t="array" ref="I49">_xlfn.IFS(H49="Credit Card",1,H49="PayPal",2,H49="Cash",3,H49="Bank Transfer",4,TRUE,5)</f>
        <v>2</v>
      </c>
    </row>
    <row r="50" spans="1:9" x14ac:dyDescent="0.3">
      <c r="A50">
        <v>797</v>
      </c>
      <c r="B50">
        <v>647</v>
      </c>
      <c r="C50">
        <v>152</v>
      </c>
      <c r="D50">
        <v>3</v>
      </c>
      <c r="E50" s="1">
        <v>45289</v>
      </c>
      <c r="F50">
        <v>20</v>
      </c>
      <c r="G50">
        <v>711.33</v>
      </c>
      <c r="H50" t="s">
        <v>9</v>
      </c>
      <c r="I50" cm="1">
        <f t="array" ref="I50">_xlfn.IFS(H50="Credit Card",1,H50="PayPal",2,H50="Cash",3,H50="Bank Transfer",4,TRUE,5)</f>
        <v>1</v>
      </c>
    </row>
    <row r="51" spans="1:9" x14ac:dyDescent="0.3">
      <c r="A51">
        <v>799</v>
      </c>
      <c r="B51">
        <v>91</v>
      </c>
      <c r="C51">
        <v>809</v>
      </c>
      <c r="D51">
        <v>2</v>
      </c>
      <c r="E51" s="1">
        <v>45277</v>
      </c>
      <c r="F51">
        <v>3</v>
      </c>
      <c r="G51">
        <v>1276.5899999999999</v>
      </c>
      <c r="H51" t="s">
        <v>8</v>
      </c>
      <c r="I51" cm="1">
        <f t="array" ref="I51">_xlfn.IFS(H51="Credit Card",1,H51="PayPal",2,H51="Cash",3,H51="Bank Transfer",4,TRUE,5)</f>
        <v>4</v>
      </c>
    </row>
    <row r="52" spans="1:9" x14ac:dyDescent="0.3">
      <c r="A52">
        <v>809</v>
      </c>
      <c r="B52">
        <v>226</v>
      </c>
      <c r="C52">
        <v>74</v>
      </c>
      <c r="D52">
        <v>5</v>
      </c>
      <c r="E52" s="1">
        <v>45275</v>
      </c>
      <c r="F52">
        <v>11</v>
      </c>
      <c r="G52">
        <v>1818.93</v>
      </c>
      <c r="H52" t="s">
        <v>9</v>
      </c>
      <c r="I52" cm="1">
        <f t="array" ref="I52">_xlfn.IFS(H52="Credit Card",1,H52="PayPal",2,H52="Cash",3,H52="Bank Transfer",4,TRUE,5)</f>
        <v>1</v>
      </c>
    </row>
    <row r="53" spans="1:9" x14ac:dyDescent="0.3">
      <c r="A53">
        <v>829</v>
      </c>
      <c r="B53">
        <v>760</v>
      </c>
      <c r="C53">
        <v>251</v>
      </c>
      <c r="D53">
        <v>1</v>
      </c>
      <c r="E53" s="1">
        <v>45268</v>
      </c>
      <c r="F53">
        <v>10</v>
      </c>
      <c r="G53">
        <v>1799.34</v>
      </c>
      <c r="H53" t="s">
        <v>9</v>
      </c>
      <c r="I53" cm="1">
        <f t="array" ref="I53">_xlfn.IFS(H53="Credit Card",1,H53="PayPal",2,H53="Cash",3,H53="Bank Transfer",4,TRUE,5)</f>
        <v>1</v>
      </c>
    </row>
    <row r="54" spans="1:9" x14ac:dyDescent="0.3">
      <c r="A54">
        <v>842</v>
      </c>
      <c r="B54">
        <v>736</v>
      </c>
      <c r="C54">
        <v>181</v>
      </c>
      <c r="D54">
        <v>1</v>
      </c>
      <c r="E54" s="1">
        <v>45273</v>
      </c>
      <c r="F54">
        <v>2</v>
      </c>
      <c r="G54">
        <v>897.23</v>
      </c>
      <c r="H54" t="s">
        <v>10</v>
      </c>
      <c r="I54" cm="1">
        <f t="array" ref="I54">_xlfn.IFS(H54="Credit Card",1,H54="PayPal",2,H54="Cash",3,H54="Bank Transfer",4,TRUE,5)</f>
        <v>3</v>
      </c>
    </row>
    <row r="55" spans="1:9" x14ac:dyDescent="0.3">
      <c r="A55">
        <v>857</v>
      </c>
      <c r="B55">
        <v>306</v>
      </c>
      <c r="C55">
        <v>164</v>
      </c>
      <c r="D55">
        <v>5</v>
      </c>
      <c r="E55" s="1">
        <v>45282</v>
      </c>
      <c r="F55">
        <v>14</v>
      </c>
      <c r="G55">
        <v>1362.08</v>
      </c>
      <c r="H55" t="s">
        <v>11</v>
      </c>
      <c r="I55" cm="1">
        <f t="array" ref="I55">_xlfn.IFS(H55="Credit Card",1,H55="PayPal",2,H55="Cash",3,H55="Bank Transfer",4,TRUE,5)</f>
        <v>2</v>
      </c>
    </row>
    <row r="56" spans="1:9" x14ac:dyDescent="0.3">
      <c r="A56">
        <v>874</v>
      </c>
      <c r="B56">
        <v>961</v>
      </c>
      <c r="C56">
        <v>946</v>
      </c>
      <c r="D56">
        <v>2</v>
      </c>
      <c r="E56" s="1">
        <v>45279</v>
      </c>
      <c r="F56">
        <v>2</v>
      </c>
      <c r="G56">
        <v>280.27</v>
      </c>
      <c r="H56" t="s">
        <v>11</v>
      </c>
      <c r="I56" cm="1">
        <f t="array" ref="I56">_xlfn.IFS(H56="Credit Card",1,H56="PayPal",2,H56="Cash",3,H56="Bank Transfer",4,TRUE,5)</f>
        <v>2</v>
      </c>
    </row>
    <row r="57" spans="1:9" x14ac:dyDescent="0.3">
      <c r="A57">
        <v>932</v>
      </c>
      <c r="B57">
        <v>722</v>
      </c>
      <c r="C57">
        <v>75</v>
      </c>
      <c r="D57">
        <v>5</v>
      </c>
      <c r="E57" s="1">
        <v>45284</v>
      </c>
      <c r="F57">
        <v>12</v>
      </c>
      <c r="G57">
        <v>22.35</v>
      </c>
      <c r="H57" t="s">
        <v>11</v>
      </c>
      <c r="I57" cm="1">
        <f t="array" ref="I57">_xlfn.IFS(H57="Credit Card",1,H57="PayPal",2,H57="Cash",3,H57="Bank Transfer",4,TRUE,5)</f>
        <v>2</v>
      </c>
    </row>
    <row r="58" spans="1:9" x14ac:dyDescent="0.3">
      <c r="A58">
        <v>937</v>
      </c>
      <c r="B58">
        <v>395</v>
      </c>
      <c r="C58">
        <v>33</v>
      </c>
      <c r="D58">
        <v>3</v>
      </c>
      <c r="E58" s="1">
        <v>45269</v>
      </c>
      <c r="F58">
        <v>5</v>
      </c>
      <c r="G58">
        <v>176.48</v>
      </c>
      <c r="H58" t="s">
        <v>11</v>
      </c>
      <c r="I58" cm="1">
        <f t="array" ref="I58">_xlfn.IFS(H58="Credit Card",1,H58="PayPal",2,H58="Cash",3,H58="Bank Transfer",4,TRUE,5)</f>
        <v>2</v>
      </c>
    </row>
    <row r="59" spans="1:9" x14ac:dyDescent="0.3">
      <c r="A59">
        <v>941</v>
      </c>
      <c r="B59">
        <v>952</v>
      </c>
      <c r="C59">
        <v>786</v>
      </c>
      <c r="D59">
        <v>4</v>
      </c>
      <c r="E59" s="1">
        <v>45284</v>
      </c>
      <c r="F59">
        <v>10</v>
      </c>
      <c r="G59">
        <v>1021.54</v>
      </c>
      <c r="H59" t="s">
        <v>11</v>
      </c>
      <c r="I59" cm="1">
        <f t="array" ref="I59">_xlfn.IFS(H59="Credit Card",1,H59="PayPal",2,H59="Cash",3,H59="Bank Transfer",4,TRUE,5)</f>
        <v>2</v>
      </c>
    </row>
    <row r="60" spans="1:9" x14ac:dyDescent="0.3">
      <c r="A60">
        <v>943</v>
      </c>
      <c r="B60">
        <v>877</v>
      </c>
      <c r="C60">
        <v>664</v>
      </c>
      <c r="D60">
        <v>1</v>
      </c>
      <c r="E60" s="1">
        <v>45286</v>
      </c>
      <c r="F60">
        <v>6</v>
      </c>
      <c r="G60">
        <v>1108.54</v>
      </c>
      <c r="H60" t="s">
        <v>11</v>
      </c>
      <c r="I60" cm="1">
        <f t="array" ref="I60">_xlfn.IFS(H60="Credit Card",1,H60="PayPal",2,H60="Cash",3,H60="Bank Transfer",4,TRUE,5)</f>
        <v>2</v>
      </c>
    </row>
    <row r="61" spans="1:9" x14ac:dyDescent="0.3">
      <c r="A61">
        <v>978</v>
      </c>
      <c r="B61">
        <v>91</v>
      </c>
      <c r="C61">
        <v>461</v>
      </c>
      <c r="D61">
        <v>4</v>
      </c>
      <c r="E61" s="1">
        <v>45289</v>
      </c>
      <c r="F61">
        <v>7</v>
      </c>
      <c r="G61">
        <v>1383.17</v>
      </c>
      <c r="H61" t="s">
        <v>8</v>
      </c>
      <c r="I61" cm="1">
        <f t="array" ref="I61">_xlfn.IFS(H61="Credit Card",1,H61="PayPal",2,H61="Cash",3,H61="Bank Transfer",4,TRUE,5)</f>
        <v>4</v>
      </c>
    </row>
    <row r="62" spans="1:9" x14ac:dyDescent="0.3">
      <c r="A62">
        <v>996</v>
      </c>
      <c r="B62">
        <v>358</v>
      </c>
      <c r="C62">
        <v>170</v>
      </c>
      <c r="D62">
        <v>3</v>
      </c>
      <c r="E62" s="1">
        <v>45290</v>
      </c>
      <c r="F62">
        <v>9</v>
      </c>
      <c r="G62">
        <v>109.08</v>
      </c>
      <c r="H62" t="s">
        <v>10</v>
      </c>
      <c r="I62" cm="1">
        <f t="array" ref="I62">_xlfn.IFS(H62="Credit Card",1,H62="PayPal",2,H62="Cash",3,H62="Bank Transfer",4,TRUE,5)</f>
        <v>3</v>
      </c>
    </row>
    <row r="63" spans="1:9" x14ac:dyDescent="0.3">
      <c r="A63">
        <v>3</v>
      </c>
      <c r="B63">
        <v>1</v>
      </c>
      <c r="C63">
        <v>735</v>
      </c>
      <c r="D63">
        <v>3</v>
      </c>
      <c r="E63" s="1">
        <v>45563</v>
      </c>
      <c r="F63">
        <v>14</v>
      </c>
      <c r="G63">
        <v>1039.3900000000001</v>
      </c>
      <c r="H63" t="s">
        <v>8</v>
      </c>
      <c r="I63" cm="1">
        <f t="array" ref="I63">_xlfn.IFS(H63="Credit Card",1,H63="PayPal",2,H63="Cash",3,H63="Bank Transfer",4,TRUE,5)</f>
        <v>4</v>
      </c>
    </row>
    <row r="64" spans="1:9" x14ac:dyDescent="0.3">
      <c r="A64">
        <v>4</v>
      </c>
      <c r="B64">
        <v>498</v>
      </c>
      <c r="C64">
        <v>428</v>
      </c>
      <c r="D64">
        <v>1</v>
      </c>
      <c r="E64" s="1">
        <v>45589</v>
      </c>
      <c r="F64">
        <v>17</v>
      </c>
      <c r="G64">
        <v>1377.75</v>
      </c>
      <c r="H64" t="s">
        <v>9</v>
      </c>
      <c r="I64" cm="1">
        <f t="array" ref="I64">_xlfn.IFS(H64="Credit Card",1,H64="PayPal",2,H64="Cash",3,H64="Bank Transfer",4,TRUE,5)</f>
        <v>1</v>
      </c>
    </row>
    <row r="65" spans="1:9" x14ac:dyDescent="0.3">
      <c r="A65">
        <v>5</v>
      </c>
      <c r="B65">
        <v>348</v>
      </c>
      <c r="C65">
        <v>154</v>
      </c>
      <c r="D65">
        <v>4</v>
      </c>
      <c r="E65" s="1">
        <v>45309</v>
      </c>
      <c r="F65">
        <v>2</v>
      </c>
      <c r="G65">
        <v>449.8</v>
      </c>
      <c r="H65" t="s">
        <v>8</v>
      </c>
      <c r="I65" cm="1">
        <f t="array" ref="I65">_xlfn.IFS(H65="Credit Card",1,H65="PayPal",2,H65="Cash",3,H65="Bank Transfer",4,TRUE,5)</f>
        <v>4</v>
      </c>
    </row>
    <row r="66" spans="1:9" x14ac:dyDescent="0.3">
      <c r="A66">
        <v>6</v>
      </c>
      <c r="B66">
        <v>88</v>
      </c>
      <c r="C66">
        <v>14</v>
      </c>
      <c r="D66">
        <v>2</v>
      </c>
      <c r="E66" s="1">
        <v>45445</v>
      </c>
      <c r="F66">
        <v>18</v>
      </c>
      <c r="G66">
        <v>1288.99</v>
      </c>
      <c r="H66" t="s">
        <v>11</v>
      </c>
      <c r="I66" cm="1">
        <f t="array" ref="I66">_xlfn.IFS(H66="Credit Card",1,H66="PayPal",2,H66="Cash",3,H66="Bank Transfer",4,TRUE,5)</f>
        <v>2</v>
      </c>
    </row>
    <row r="67" spans="1:9" x14ac:dyDescent="0.3">
      <c r="A67">
        <v>7</v>
      </c>
      <c r="B67">
        <v>23</v>
      </c>
      <c r="C67">
        <v>410</v>
      </c>
      <c r="D67">
        <v>3</v>
      </c>
      <c r="E67" s="1">
        <v>45351</v>
      </c>
      <c r="F67">
        <v>15</v>
      </c>
      <c r="G67">
        <v>1497.45</v>
      </c>
      <c r="H67" t="s">
        <v>11</v>
      </c>
      <c r="I67" cm="1">
        <f t="array" ref="I67">_xlfn.IFS(H67="Credit Card",1,H67="PayPal",2,H67="Cash",3,H67="Bank Transfer",4,TRUE,5)</f>
        <v>2</v>
      </c>
    </row>
    <row r="68" spans="1:9" x14ac:dyDescent="0.3">
      <c r="A68">
        <v>9</v>
      </c>
      <c r="B68">
        <v>469</v>
      </c>
      <c r="C68">
        <v>267</v>
      </c>
      <c r="D68">
        <v>1</v>
      </c>
      <c r="E68" s="1">
        <v>45335</v>
      </c>
      <c r="F68">
        <v>9</v>
      </c>
      <c r="G68">
        <v>1235.7</v>
      </c>
      <c r="H68" t="s">
        <v>8</v>
      </c>
      <c r="I68" cm="1">
        <f t="array" ref="I68">_xlfn.IFS(H68="Credit Card",1,H68="PayPal",2,H68="Cash",3,H68="Bank Transfer",4,TRUE,5)</f>
        <v>4</v>
      </c>
    </row>
    <row r="69" spans="1:9" x14ac:dyDescent="0.3">
      <c r="A69">
        <v>10</v>
      </c>
      <c r="B69">
        <v>427</v>
      </c>
      <c r="C69">
        <v>954</v>
      </c>
      <c r="D69">
        <v>2</v>
      </c>
      <c r="E69" s="1">
        <v>45394</v>
      </c>
      <c r="F69">
        <v>13</v>
      </c>
      <c r="G69">
        <v>1920.54</v>
      </c>
      <c r="H69" t="s">
        <v>9</v>
      </c>
      <c r="I69" cm="1">
        <f t="array" ref="I69">_xlfn.IFS(H69="Credit Card",1,H69="PayPal",2,H69="Cash",3,H69="Bank Transfer",4,TRUE,5)</f>
        <v>1</v>
      </c>
    </row>
    <row r="70" spans="1:9" x14ac:dyDescent="0.3">
      <c r="A70">
        <v>11</v>
      </c>
      <c r="B70">
        <v>327</v>
      </c>
      <c r="C70">
        <v>862</v>
      </c>
      <c r="D70">
        <v>1</v>
      </c>
      <c r="E70" s="1">
        <v>45605</v>
      </c>
      <c r="F70">
        <v>8</v>
      </c>
      <c r="G70">
        <v>1130.52</v>
      </c>
      <c r="H70" t="s">
        <v>8</v>
      </c>
      <c r="I70" cm="1">
        <f t="array" ref="I70">_xlfn.IFS(H70="Credit Card",1,H70="PayPal",2,H70="Cash",3,H70="Bank Transfer",4,TRUE,5)</f>
        <v>4</v>
      </c>
    </row>
    <row r="71" spans="1:9" x14ac:dyDescent="0.3">
      <c r="A71">
        <v>12</v>
      </c>
      <c r="B71">
        <v>211</v>
      </c>
      <c r="C71">
        <v>963</v>
      </c>
      <c r="D71">
        <v>1</v>
      </c>
      <c r="E71" s="1">
        <v>45330</v>
      </c>
      <c r="F71">
        <v>19</v>
      </c>
      <c r="G71">
        <v>1028.81</v>
      </c>
      <c r="H71" t="s">
        <v>9</v>
      </c>
      <c r="I71" cm="1">
        <f t="array" ref="I71">_xlfn.IFS(H71="Credit Card",1,H71="PayPal",2,H71="Cash",3,H71="Bank Transfer",4,TRUE,5)</f>
        <v>1</v>
      </c>
    </row>
    <row r="72" spans="1:9" x14ac:dyDescent="0.3">
      <c r="A72">
        <v>13</v>
      </c>
      <c r="B72">
        <v>43</v>
      </c>
      <c r="C72">
        <v>846</v>
      </c>
      <c r="D72">
        <v>5</v>
      </c>
      <c r="E72" s="1">
        <v>45500</v>
      </c>
      <c r="F72">
        <v>13</v>
      </c>
      <c r="G72">
        <v>416.27</v>
      </c>
      <c r="H72" t="s">
        <v>11</v>
      </c>
      <c r="I72" cm="1">
        <f t="array" ref="I72">_xlfn.IFS(H72="Credit Card",1,H72="PayPal",2,H72="Cash",3,H72="Bank Transfer",4,TRUE,5)</f>
        <v>2</v>
      </c>
    </row>
    <row r="73" spans="1:9" x14ac:dyDescent="0.3">
      <c r="A73">
        <v>14</v>
      </c>
      <c r="B73">
        <v>235</v>
      </c>
      <c r="C73">
        <v>407</v>
      </c>
      <c r="D73">
        <v>5</v>
      </c>
      <c r="E73" s="1">
        <v>45611</v>
      </c>
      <c r="F73">
        <v>20</v>
      </c>
      <c r="G73">
        <v>686.38</v>
      </c>
      <c r="H73" t="s">
        <v>9</v>
      </c>
      <c r="I73" cm="1">
        <f t="array" ref="I73">_xlfn.IFS(H73="Credit Card",1,H73="PayPal",2,H73="Cash",3,H73="Bank Transfer",4,TRUE,5)</f>
        <v>1</v>
      </c>
    </row>
    <row r="74" spans="1:9" x14ac:dyDescent="0.3">
      <c r="A74">
        <v>15</v>
      </c>
      <c r="B74">
        <v>563</v>
      </c>
      <c r="C74">
        <v>672</v>
      </c>
      <c r="D74">
        <v>2</v>
      </c>
      <c r="E74" s="1">
        <v>45520</v>
      </c>
      <c r="F74">
        <v>6</v>
      </c>
      <c r="G74">
        <v>126.74</v>
      </c>
      <c r="H74" t="s">
        <v>10</v>
      </c>
      <c r="I74" cm="1">
        <f t="array" ref="I74">_xlfn.IFS(H74="Credit Card",1,H74="PayPal",2,H74="Cash",3,H74="Bank Transfer",4,TRUE,5)</f>
        <v>3</v>
      </c>
    </row>
    <row r="75" spans="1:9" x14ac:dyDescent="0.3">
      <c r="A75">
        <v>16</v>
      </c>
      <c r="B75">
        <v>747</v>
      </c>
      <c r="C75">
        <v>699</v>
      </c>
      <c r="D75">
        <v>2</v>
      </c>
      <c r="E75" s="1">
        <v>45548</v>
      </c>
      <c r="F75">
        <v>15</v>
      </c>
      <c r="G75">
        <v>1740.29</v>
      </c>
      <c r="H75" t="s">
        <v>9</v>
      </c>
      <c r="I75" cm="1">
        <f t="array" ref="I75">_xlfn.IFS(H75="Credit Card",1,H75="PayPal",2,H75="Cash",3,H75="Bank Transfer",4,TRUE,5)</f>
        <v>1</v>
      </c>
    </row>
    <row r="76" spans="1:9" x14ac:dyDescent="0.3">
      <c r="A76">
        <v>17</v>
      </c>
      <c r="B76">
        <v>596</v>
      </c>
      <c r="C76">
        <v>259</v>
      </c>
      <c r="D76">
        <v>3</v>
      </c>
      <c r="E76" s="1">
        <v>45480</v>
      </c>
      <c r="F76">
        <v>19</v>
      </c>
      <c r="G76">
        <v>1889.78</v>
      </c>
      <c r="H76" t="s">
        <v>11</v>
      </c>
      <c r="I76" cm="1">
        <f t="array" ref="I76">_xlfn.IFS(H76="Credit Card",1,H76="PayPal",2,H76="Cash",3,H76="Bank Transfer",4,TRUE,5)</f>
        <v>2</v>
      </c>
    </row>
    <row r="77" spans="1:9" x14ac:dyDescent="0.3">
      <c r="A77">
        <v>18</v>
      </c>
      <c r="B77">
        <v>56</v>
      </c>
      <c r="C77">
        <v>738</v>
      </c>
      <c r="D77">
        <v>2</v>
      </c>
      <c r="E77" s="1">
        <v>45596</v>
      </c>
      <c r="F77">
        <v>2</v>
      </c>
      <c r="G77">
        <v>1538.12</v>
      </c>
      <c r="H77" t="s">
        <v>10</v>
      </c>
      <c r="I77" cm="1">
        <f t="array" ref="I77">_xlfn.IFS(H77="Credit Card",1,H77="PayPal",2,H77="Cash",3,H77="Bank Transfer",4,TRUE,5)</f>
        <v>3</v>
      </c>
    </row>
    <row r="78" spans="1:9" x14ac:dyDescent="0.3">
      <c r="A78">
        <v>19</v>
      </c>
      <c r="B78">
        <v>926</v>
      </c>
      <c r="C78">
        <v>413</v>
      </c>
      <c r="D78">
        <v>3</v>
      </c>
      <c r="E78" s="1">
        <v>45323</v>
      </c>
      <c r="F78">
        <v>3</v>
      </c>
      <c r="G78">
        <v>706.78</v>
      </c>
      <c r="H78" t="s">
        <v>8</v>
      </c>
      <c r="I78" cm="1">
        <f t="array" ref="I78">_xlfn.IFS(H78="Credit Card",1,H78="PayPal",2,H78="Cash",3,H78="Bank Transfer",4,TRUE,5)</f>
        <v>4</v>
      </c>
    </row>
    <row r="79" spans="1:9" x14ac:dyDescent="0.3">
      <c r="A79">
        <v>20</v>
      </c>
      <c r="B79">
        <v>27</v>
      </c>
      <c r="C79">
        <v>215</v>
      </c>
      <c r="D79">
        <v>4</v>
      </c>
      <c r="E79" s="1">
        <v>45597</v>
      </c>
      <c r="F79">
        <v>18</v>
      </c>
      <c r="G79">
        <v>482.54</v>
      </c>
      <c r="H79" t="s">
        <v>8</v>
      </c>
      <c r="I79" cm="1">
        <f t="array" ref="I79">_xlfn.IFS(H79="Credit Card",1,H79="PayPal",2,H79="Cash",3,H79="Bank Transfer",4,TRUE,5)</f>
        <v>4</v>
      </c>
    </row>
    <row r="80" spans="1:9" x14ac:dyDescent="0.3">
      <c r="A80">
        <v>21</v>
      </c>
      <c r="B80">
        <v>860</v>
      </c>
      <c r="C80">
        <v>741</v>
      </c>
      <c r="D80">
        <v>3</v>
      </c>
      <c r="E80" s="1">
        <v>45473</v>
      </c>
      <c r="F80">
        <v>9</v>
      </c>
      <c r="G80">
        <v>85.89</v>
      </c>
      <c r="H80" t="s">
        <v>8</v>
      </c>
      <c r="I80" cm="1">
        <f t="array" ref="I80">_xlfn.IFS(H80="Credit Card",1,H80="PayPal",2,H80="Cash",3,H80="Bank Transfer",4,TRUE,5)</f>
        <v>4</v>
      </c>
    </row>
    <row r="81" spans="1:9" x14ac:dyDescent="0.3">
      <c r="A81">
        <v>22</v>
      </c>
      <c r="B81">
        <v>658</v>
      </c>
      <c r="C81">
        <v>968</v>
      </c>
      <c r="D81">
        <v>3</v>
      </c>
      <c r="E81" s="1">
        <v>45456</v>
      </c>
      <c r="F81">
        <v>13</v>
      </c>
      <c r="G81">
        <v>969.9</v>
      </c>
      <c r="H81" t="s">
        <v>8</v>
      </c>
      <c r="I81" cm="1">
        <f t="array" ref="I81">_xlfn.IFS(H81="Credit Card",1,H81="PayPal",2,H81="Cash",3,H81="Bank Transfer",4,TRUE,5)</f>
        <v>4</v>
      </c>
    </row>
    <row r="82" spans="1:9" x14ac:dyDescent="0.3">
      <c r="A82">
        <v>23</v>
      </c>
      <c r="B82">
        <v>883</v>
      </c>
      <c r="C82">
        <v>841</v>
      </c>
      <c r="D82">
        <v>4</v>
      </c>
      <c r="E82" s="1">
        <v>45298</v>
      </c>
      <c r="F82">
        <v>18</v>
      </c>
      <c r="G82">
        <v>1553.61</v>
      </c>
      <c r="H82" t="s">
        <v>10</v>
      </c>
      <c r="I82" cm="1">
        <f t="array" ref="I82">_xlfn.IFS(H82="Credit Card",1,H82="PayPal",2,H82="Cash",3,H82="Bank Transfer",4,TRUE,5)</f>
        <v>3</v>
      </c>
    </row>
    <row r="83" spans="1:9" x14ac:dyDescent="0.3">
      <c r="A83">
        <v>24</v>
      </c>
      <c r="B83">
        <v>191</v>
      </c>
      <c r="C83">
        <v>459</v>
      </c>
      <c r="D83">
        <v>2</v>
      </c>
      <c r="E83" s="1">
        <v>45630</v>
      </c>
      <c r="F83">
        <v>12</v>
      </c>
      <c r="G83">
        <v>1550.39</v>
      </c>
      <c r="H83" t="s">
        <v>8</v>
      </c>
      <c r="I83" cm="1">
        <f t="array" ref="I83">_xlfn.IFS(H83="Credit Card",1,H83="PayPal",2,H83="Cash",3,H83="Bank Transfer",4,TRUE,5)</f>
        <v>4</v>
      </c>
    </row>
    <row r="84" spans="1:9" x14ac:dyDescent="0.3">
      <c r="A84">
        <v>25</v>
      </c>
      <c r="B84">
        <v>11</v>
      </c>
      <c r="C84">
        <v>551</v>
      </c>
      <c r="D84">
        <v>4</v>
      </c>
      <c r="E84" s="1">
        <v>45542</v>
      </c>
      <c r="F84">
        <v>1</v>
      </c>
      <c r="G84">
        <v>1000.29</v>
      </c>
      <c r="H84" t="s">
        <v>10</v>
      </c>
      <c r="I84" cm="1">
        <f t="array" ref="I84">_xlfn.IFS(H84="Credit Card",1,H84="PayPal",2,H84="Cash",3,H84="Bank Transfer",4,TRUE,5)</f>
        <v>3</v>
      </c>
    </row>
    <row r="85" spans="1:9" x14ac:dyDescent="0.3">
      <c r="A85">
        <v>26</v>
      </c>
      <c r="B85">
        <v>803</v>
      </c>
      <c r="C85">
        <v>663</v>
      </c>
      <c r="D85">
        <v>2</v>
      </c>
      <c r="E85" s="1">
        <v>45484</v>
      </c>
      <c r="F85">
        <v>10</v>
      </c>
      <c r="G85">
        <v>660.12</v>
      </c>
      <c r="H85" t="s">
        <v>10</v>
      </c>
      <c r="I85" cm="1">
        <f t="array" ref="I85">_xlfn.IFS(H85="Credit Card",1,H85="PayPal",2,H85="Cash",3,H85="Bank Transfer",4,TRUE,5)</f>
        <v>3</v>
      </c>
    </row>
    <row r="86" spans="1:9" x14ac:dyDescent="0.3">
      <c r="A86">
        <v>27</v>
      </c>
      <c r="B86">
        <v>684</v>
      </c>
      <c r="C86">
        <v>418</v>
      </c>
      <c r="D86">
        <v>3</v>
      </c>
      <c r="E86" s="1">
        <v>45311</v>
      </c>
      <c r="F86">
        <v>20</v>
      </c>
      <c r="G86">
        <v>517.47</v>
      </c>
      <c r="H86" t="s">
        <v>11</v>
      </c>
      <c r="I86" cm="1">
        <f t="array" ref="I86">_xlfn.IFS(H86="Credit Card",1,H86="PayPal",2,H86="Cash",3,H86="Bank Transfer",4,TRUE,5)</f>
        <v>2</v>
      </c>
    </row>
    <row r="87" spans="1:9" x14ac:dyDescent="0.3">
      <c r="A87">
        <v>28</v>
      </c>
      <c r="B87">
        <v>375</v>
      </c>
      <c r="C87">
        <v>851</v>
      </c>
      <c r="D87">
        <v>5</v>
      </c>
      <c r="E87" s="1">
        <v>45471</v>
      </c>
      <c r="F87">
        <v>17</v>
      </c>
      <c r="G87">
        <v>333.38</v>
      </c>
      <c r="H87" t="s">
        <v>11</v>
      </c>
      <c r="I87" cm="1">
        <f t="array" ref="I87">_xlfn.IFS(H87="Credit Card",1,H87="PayPal",2,H87="Cash",3,H87="Bank Transfer",4,TRUE,5)</f>
        <v>2</v>
      </c>
    </row>
    <row r="88" spans="1:9" x14ac:dyDescent="0.3">
      <c r="A88">
        <v>29</v>
      </c>
      <c r="B88">
        <v>351</v>
      </c>
      <c r="C88">
        <v>448</v>
      </c>
      <c r="D88">
        <v>4</v>
      </c>
      <c r="E88" s="1">
        <v>45520</v>
      </c>
      <c r="F88">
        <v>6</v>
      </c>
      <c r="G88">
        <v>1533.31</v>
      </c>
      <c r="H88" t="s">
        <v>8</v>
      </c>
      <c r="I88" cm="1">
        <f t="array" ref="I88">_xlfn.IFS(H88="Credit Card",1,H88="PayPal",2,H88="Cash",3,H88="Bank Transfer",4,TRUE,5)</f>
        <v>4</v>
      </c>
    </row>
    <row r="89" spans="1:9" x14ac:dyDescent="0.3">
      <c r="A89">
        <v>30</v>
      </c>
      <c r="B89">
        <v>325</v>
      </c>
      <c r="C89">
        <v>952</v>
      </c>
      <c r="D89">
        <v>1</v>
      </c>
      <c r="E89" s="1">
        <v>45459</v>
      </c>
      <c r="F89">
        <v>1</v>
      </c>
      <c r="G89">
        <v>240.31</v>
      </c>
      <c r="H89" t="s">
        <v>10</v>
      </c>
      <c r="I89" cm="1">
        <f t="array" ref="I89">_xlfn.IFS(H89="Credit Card",1,H89="PayPal",2,H89="Cash",3,H89="Bank Transfer",4,TRUE,5)</f>
        <v>3</v>
      </c>
    </row>
    <row r="90" spans="1:9" x14ac:dyDescent="0.3">
      <c r="A90">
        <v>31</v>
      </c>
      <c r="B90">
        <v>577</v>
      </c>
      <c r="C90">
        <v>774</v>
      </c>
      <c r="D90">
        <v>5</v>
      </c>
      <c r="E90" s="1">
        <v>45310</v>
      </c>
      <c r="F90">
        <v>20</v>
      </c>
      <c r="G90">
        <v>1166.07</v>
      </c>
      <c r="H90" t="s">
        <v>11</v>
      </c>
      <c r="I90" cm="1">
        <f t="array" ref="I90">_xlfn.IFS(H90="Credit Card",1,H90="PayPal",2,H90="Cash",3,H90="Bank Transfer",4,TRUE,5)</f>
        <v>2</v>
      </c>
    </row>
    <row r="91" spans="1:9" x14ac:dyDescent="0.3">
      <c r="A91">
        <v>32</v>
      </c>
      <c r="B91">
        <v>818</v>
      </c>
      <c r="C91">
        <v>444</v>
      </c>
      <c r="D91">
        <v>2</v>
      </c>
      <c r="E91" s="1">
        <v>45498</v>
      </c>
      <c r="F91">
        <v>10</v>
      </c>
      <c r="G91">
        <v>1611</v>
      </c>
      <c r="H91" t="s">
        <v>9</v>
      </c>
      <c r="I91" cm="1">
        <f t="array" ref="I91">_xlfn.IFS(H91="Credit Card",1,H91="PayPal",2,H91="Cash",3,H91="Bank Transfer",4,TRUE,5)</f>
        <v>1</v>
      </c>
    </row>
    <row r="92" spans="1:9" x14ac:dyDescent="0.3">
      <c r="A92">
        <v>33</v>
      </c>
      <c r="B92">
        <v>367</v>
      </c>
      <c r="C92">
        <v>890</v>
      </c>
      <c r="D92">
        <v>2</v>
      </c>
      <c r="E92" s="1">
        <v>45619</v>
      </c>
      <c r="F92">
        <v>20</v>
      </c>
      <c r="G92">
        <v>1162.1500000000001</v>
      </c>
      <c r="H92" t="s">
        <v>8</v>
      </c>
      <c r="I92" cm="1">
        <f t="array" ref="I92">_xlfn.IFS(H92="Credit Card",1,H92="PayPal",2,H92="Cash",3,H92="Bank Transfer",4,TRUE,5)</f>
        <v>4</v>
      </c>
    </row>
    <row r="93" spans="1:9" x14ac:dyDescent="0.3">
      <c r="A93">
        <v>35</v>
      </c>
      <c r="B93">
        <v>735</v>
      </c>
      <c r="C93">
        <v>860</v>
      </c>
      <c r="D93">
        <v>1</v>
      </c>
      <c r="E93" s="1">
        <v>45360</v>
      </c>
      <c r="F93">
        <v>15</v>
      </c>
      <c r="G93">
        <v>1764.7</v>
      </c>
      <c r="H93" t="s">
        <v>10</v>
      </c>
      <c r="I93" cm="1">
        <f t="array" ref="I93">_xlfn.IFS(H93="Credit Card",1,H93="PayPal",2,H93="Cash",3,H93="Bank Transfer",4,TRUE,5)</f>
        <v>3</v>
      </c>
    </row>
    <row r="94" spans="1:9" x14ac:dyDescent="0.3">
      <c r="A94">
        <v>36</v>
      </c>
      <c r="B94">
        <v>465</v>
      </c>
      <c r="C94">
        <v>136</v>
      </c>
      <c r="D94">
        <v>1</v>
      </c>
      <c r="E94" s="1">
        <v>45537</v>
      </c>
      <c r="F94">
        <v>11</v>
      </c>
      <c r="G94">
        <v>1418.3</v>
      </c>
      <c r="H94" t="s">
        <v>10</v>
      </c>
      <c r="I94" cm="1">
        <f t="array" ref="I94">_xlfn.IFS(H94="Credit Card",1,H94="PayPal",2,H94="Cash",3,H94="Bank Transfer",4,TRUE,5)</f>
        <v>3</v>
      </c>
    </row>
    <row r="95" spans="1:9" x14ac:dyDescent="0.3">
      <c r="A95">
        <v>37</v>
      </c>
      <c r="B95">
        <v>759</v>
      </c>
      <c r="C95">
        <v>814</v>
      </c>
      <c r="D95">
        <v>3</v>
      </c>
      <c r="E95" s="1">
        <v>45609</v>
      </c>
      <c r="F95">
        <v>2</v>
      </c>
      <c r="G95">
        <v>1213.48</v>
      </c>
      <c r="H95" t="s">
        <v>10</v>
      </c>
      <c r="I95" cm="1">
        <f t="array" ref="I95">_xlfn.IFS(H95="Credit Card",1,H95="PayPal",2,H95="Cash",3,H95="Bank Transfer",4,TRUE,5)</f>
        <v>3</v>
      </c>
    </row>
    <row r="96" spans="1:9" x14ac:dyDescent="0.3">
      <c r="A96">
        <v>38</v>
      </c>
      <c r="B96">
        <v>129</v>
      </c>
      <c r="C96">
        <v>204</v>
      </c>
      <c r="D96">
        <v>5</v>
      </c>
      <c r="E96" s="1">
        <v>45577</v>
      </c>
      <c r="F96">
        <v>18</v>
      </c>
      <c r="G96">
        <v>439.04</v>
      </c>
      <c r="H96" t="s">
        <v>8</v>
      </c>
      <c r="I96" cm="1">
        <f t="array" ref="I96">_xlfn.IFS(H96="Credit Card",1,H96="PayPal",2,H96="Cash",3,H96="Bank Transfer",4,TRUE,5)</f>
        <v>4</v>
      </c>
    </row>
    <row r="97" spans="1:9" x14ac:dyDescent="0.3">
      <c r="A97">
        <v>39</v>
      </c>
      <c r="B97">
        <v>34</v>
      </c>
      <c r="C97">
        <v>990</v>
      </c>
      <c r="D97">
        <v>4</v>
      </c>
      <c r="E97" s="1">
        <v>45343</v>
      </c>
      <c r="F97">
        <v>5</v>
      </c>
      <c r="G97">
        <v>773.95</v>
      </c>
      <c r="H97" t="s">
        <v>8</v>
      </c>
      <c r="I97" cm="1">
        <f t="array" ref="I97">_xlfn.IFS(H97="Credit Card",1,H97="PayPal",2,H97="Cash",3,H97="Bank Transfer",4,TRUE,5)</f>
        <v>4</v>
      </c>
    </row>
    <row r="98" spans="1:9" x14ac:dyDescent="0.3">
      <c r="A98">
        <v>40</v>
      </c>
      <c r="B98">
        <v>98</v>
      </c>
      <c r="C98">
        <v>174</v>
      </c>
      <c r="D98">
        <v>5</v>
      </c>
      <c r="E98" s="1">
        <v>45556</v>
      </c>
      <c r="F98">
        <v>16</v>
      </c>
      <c r="G98">
        <v>95.54</v>
      </c>
      <c r="H98" t="s">
        <v>9</v>
      </c>
      <c r="I98" cm="1">
        <f t="array" ref="I98">_xlfn.IFS(H98="Credit Card",1,H98="PayPal",2,H98="Cash",3,H98="Bank Transfer",4,TRUE,5)</f>
        <v>1</v>
      </c>
    </row>
    <row r="99" spans="1:9" x14ac:dyDescent="0.3">
      <c r="A99">
        <v>41</v>
      </c>
      <c r="B99">
        <v>253</v>
      </c>
      <c r="C99">
        <v>103</v>
      </c>
      <c r="D99">
        <v>5</v>
      </c>
      <c r="E99" s="1">
        <v>45386</v>
      </c>
      <c r="F99">
        <v>13</v>
      </c>
      <c r="G99">
        <v>399.9</v>
      </c>
      <c r="H99" t="s">
        <v>10</v>
      </c>
      <c r="I99" cm="1">
        <f t="array" ref="I99">_xlfn.IFS(H99="Credit Card",1,H99="PayPal",2,H99="Cash",3,H99="Bank Transfer",4,TRUE,5)</f>
        <v>3</v>
      </c>
    </row>
    <row r="100" spans="1:9" x14ac:dyDescent="0.3">
      <c r="A100">
        <v>42</v>
      </c>
      <c r="B100">
        <v>438</v>
      </c>
      <c r="C100">
        <v>388</v>
      </c>
      <c r="D100">
        <v>1</v>
      </c>
      <c r="E100" s="1">
        <v>45478</v>
      </c>
      <c r="F100">
        <v>11</v>
      </c>
      <c r="G100">
        <v>242.32</v>
      </c>
      <c r="H100" t="s">
        <v>10</v>
      </c>
      <c r="I100" cm="1">
        <f t="array" ref="I100">_xlfn.IFS(H100="Credit Card",1,H100="PayPal",2,H100="Cash",3,H100="Bank Transfer",4,TRUE,5)</f>
        <v>3</v>
      </c>
    </row>
    <row r="101" spans="1:9" x14ac:dyDescent="0.3">
      <c r="A101">
        <v>43</v>
      </c>
      <c r="B101">
        <v>168</v>
      </c>
      <c r="C101">
        <v>653</v>
      </c>
      <c r="D101">
        <v>2</v>
      </c>
      <c r="E101" s="1">
        <v>45502</v>
      </c>
      <c r="F101">
        <v>9</v>
      </c>
      <c r="G101">
        <v>1969.67</v>
      </c>
      <c r="H101" t="s">
        <v>8</v>
      </c>
      <c r="I101" cm="1">
        <f t="array" ref="I101">_xlfn.IFS(H101="Credit Card",1,H101="PayPal",2,H101="Cash",3,H101="Bank Transfer",4,TRUE,5)</f>
        <v>4</v>
      </c>
    </row>
    <row r="102" spans="1:9" x14ac:dyDescent="0.3">
      <c r="A102">
        <v>44</v>
      </c>
      <c r="B102">
        <v>801</v>
      </c>
      <c r="C102">
        <v>186</v>
      </c>
      <c r="D102">
        <v>5</v>
      </c>
      <c r="E102" s="1">
        <v>45565</v>
      </c>
      <c r="F102">
        <v>15</v>
      </c>
      <c r="G102">
        <v>1604.76</v>
      </c>
      <c r="H102" t="s">
        <v>9</v>
      </c>
      <c r="I102" cm="1">
        <f t="array" ref="I102">_xlfn.IFS(H102="Credit Card",1,H102="PayPal",2,H102="Cash",3,H102="Bank Transfer",4,TRUE,5)</f>
        <v>1</v>
      </c>
    </row>
    <row r="103" spans="1:9" x14ac:dyDescent="0.3">
      <c r="A103">
        <v>45</v>
      </c>
      <c r="B103">
        <v>988</v>
      </c>
      <c r="C103">
        <v>729</v>
      </c>
      <c r="D103">
        <v>2</v>
      </c>
      <c r="E103" s="1">
        <v>45490</v>
      </c>
      <c r="F103">
        <v>3</v>
      </c>
      <c r="G103">
        <v>697.03</v>
      </c>
      <c r="H103" t="s">
        <v>10</v>
      </c>
      <c r="I103" cm="1">
        <f t="array" ref="I103">_xlfn.IFS(H103="Credit Card",1,H103="PayPal",2,H103="Cash",3,H103="Bank Transfer",4,TRUE,5)</f>
        <v>3</v>
      </c>
    </row>
    <row r="104" spans="1:9" x14ac:dyDescent="0.3">
      <c r="A104">
        <v>46</v>
      </c>
      <c r="B104">
        <v>102</v>
      </c>
      <c r="C104">
        <v>595</v>
      </c>
      <c r="D104">
        <v>5</v>
      </c>
      <c r="E104" s="1">
        <v>45546</v>
      </c>
      <c r="F104">
        <v>10</v>
      </c>
      <c r="G104">
        <v>253.84</v>
      </c>
      <c r="H104" t="s">
        <v>11</v>
      </c>
      <c r="I104" cm="1">
        <f t="array" ref="I104">_xlfn.IFS(H104="Credit Card",1,H104="PayPal",2,H104="Cash",3,H104="Bank Transfer",4,TRUE,5)</f>
        <v>2</v>
      </c>
    </row>
    <row r="105" spans="1:9" x14ac:dyDescent="0.3">
      <c r="A105">
        <v>47</v>
      </c>
      <c r="B105">
        <v>550</v>
      </c>
      <c r="C105">
        <v>844</v>
      </c>
      <c r="D105">
        <v>1</v>
      </c>
      <c r="E105" s="1">
        <v>45555</v>
      </c>
      <c r="F105">
        <v>14</v>
      </c>
      <c r="G105">
        <v>510.39</v>
      </c>
      <c r="H105" t="s">
        <v>9</v>
      </c>
      <c r="I105" cm="1">
        <f t="array" ref="I105">_xlfn.IFS(H105="Credit Card",1,H105="PayPal",2,H105="Cash",3,H105="Bank Transfer",4,TRUE,5)</f>
        <v>1</v>
      </c>
    </row>
    <row r="106" spans="1:9" x14ac:dyDescent="0.3">
      <c r="A106">
        <v>48</v>
      </c>
      <c r="B106">
        <v>18</v>
      </c>
      <c r="C106">
        <v>688</v>
      </c>
      <c r="D106">
        <v>5</v>
      </c>
      <c r="E106" s="1">
        <v>45384</v>
      </c>
      <c r="F106">
        <v>16</v>
      </c>
      <c r="G106">
        <v>1359.11</v>
      </c>
      <c r="H106" t="s">
        <v>8</v>
      </c>
      <c r="I106" cm="1">
        <f t="array" ref="I106">_xlfn.IFS(H106="Credit Card",1,H106="PayPal",2,H106="Cash",3,H106="Bank Transfer",4,TRUE,5)</f>
        <v>4</v>
      </c>
    </row>
    <row r="107" spans="1:9" x14ac:dyDescent="0.3">
      <c r="A107">
        <v>49</v>
      </c>
      <c r="B107">
        <v>161</v>
      </c>
      <c r="C107">
        <v>463</v>
      </c>
      <c r="D107">
        <v>1</v>
      </c>
      <c r="E107" s="1">
        <v>45348</v>
      </c>
      <c r="F107">
        <v>19</v>
      </c>
      <c r="G107">
        <v>394.66</v>
      </c>
      <c r="H107" t="s">
        <v>11</v>
      </c>
      <c r="I107" cm="1">
        <f t="array" ref="I107">_xlfn.IFS(H107="Credit Card",1,H107="PayPal",2,H107="Cash",3,H107="Bank Transfer",4,TRUE,5)</f>
        <v>2</v>
      </c>
    </row>
    <row r="108" spans="1:9" x14ac:dyDescent="0.3">
      <c r="A108">
        <v>50</v>
      </c>
      <c r="B108">
        <v>6</v>
      </c>
      <c r="C108">
        <v>470</v>
      </c>
      <c r="D108">
        <v>4</v>
      </c>
      <c r="E108" s="1">
        <v>45346</v>
      </c>
      <c r="F108">
        <v>4</v>
      </c>
      <c r="G108">
        <v>134.41</v>
      </c>
      <c r="H108" t="s">
        <v>11</v>
      </c>
      <c r="I108" cm="1">
        <f t="array" ref="I108">_xlfn.IFS(H108="Credit Card",1,H108="PayPal",2,H108="Cash",3,H108="Bank Transfer",4,TRUE,5)</f>
        <v>2</v>
      </c>
    </row>
    <row r="109" spans="1:9" x14ac:dyDescent="0.3">
      <c r="A109">
        <v>51</v>
      </c>
      <c r="B109">
        <v>554</v>
      </c>
      <c r="C109">
        <v>523</v>
      </c>
      <c r="D109">
        <v>4</v>
      </c>
      <c r="E109" s="1">
        <v>45421</v>
      </c>
      <c r="F109">
        <v>3</v>
      </c>
      <c r="G109">
        <v>397.03</v>
      </c>
      <c r="H109" t="s">
        <v>11</v>
      </c>
      <c r="I109" cm="1">
        <f t="array" ref="I109">_xlfn.IFS(H109="Credit Card",1,H109="PayPal",2,H109="Cash",3,H109="Bank Transfer",4,TRUE,5)</f>
        <v>2</v>
      </c>
    </row>
    <row r="110" spans="1:9" x14ac:dyDescent="0.3">
      <c r="A110">
        <v>52</v>
      </c>
      <c r="B110">
        <v>888</v>
      </c>
      <c r="C110">
        <v>418</v>
      </c>
      <c r="D110">
        <v>4</v>
      </c>
      <c r="E110" s="1">
        <v>45317</v>
      </c>
      <c r="F110">
        <v>6</v>
      </c>
      <c r="G110">
        <v>1309.1099999999999</v>
      </c>
      <c r="H110" t="s">
        <v>9</v>
      </c>
      <c r="I110" cm="1">
        <f t="array" ref="I110">_xlfn.IFS(H110="Credit Card",1,H110="PayPal",2,H110="Cash",3,H110="Bank Transfer",4,TRUE,5)</f>
        <v>1</v>
      </c>
    </row>
    <row r="111" spans="1:9" x14ac:dyDescent="0.3">
      <c r="A111">
        <v>53</v>
      </c>
      <c r="B111">
        <v>434</v>
      </c>
      <c r="C111">
        <v>276</v>
      </c>
      <c r="D111">
        <v>4</v>
      </c>
      <c r="E111" s="1">
        <v>45428</v>
      </c>
      <c r="F111">
        <v>14</v>
      </c>
      <c r="G111">
        <v>1713.1</v>
      </c>
      <c r="H111" t="s">
        <v>10</v>
      </c>
      <c r="I111" cm="1">
        <f t="array" ref="I111">_xlfn.IFS(H111="Credit Card",1,H111="PayPal",2,H111="Cash",3,H111="Bank Transfer",4,TRUE,5)</f>
        <v>3</v>
      </c>
    </row>
    <row r="112" spans="1:9" x14ac:dyDescent="0.3">
      <c r="A112">
        <v>54</v>
      </c>
      <c r="B112">
        <v>483</v>
      </c>
      <c r="C112">
        <v>576</v>
      </c>
      <c r="D112">
        <v>4</v>
      </c>
      <c r="E112" s="1">
        <v>45497</v>
      </c>
      <c r="F112">
        <v>8</v>
      </c>
      <c r="G112">
        <v>1785.47</v>
      </c>
      <c r="H112" t="s">
        <v>8</v>
      </c>
      <c r="I112" cm="1">
        <f t="array" ref="I112">_xlfn.IFS(H112="Credit Card",1,H112="PayPal",2,H112="Cash",3,H112="Bank Transfer",4,TRUE,5)</f>
        <v>4</v>
      </c>
    </row>
    <row r="113" spans="1:9" x14ac:dyDescent="0.3">
      <c r="A113">
        <v>55</v>
      </c>
      <c r="B113">
        <v>957</v>
      </c>
      <c r="C113">
        <v>698</v>
      </c>
      <c r="D113">
        <v>4</v>
      </c>
      <c r="E113" s="1">
        <v>45546</v>
      </c>
      <c r="F113">
        <v>6</v>
      </c>
      <c r="G113">
        <v>515.44000000000005</v>
      </c>
      <c r="H113" t="s">
        <v>10</v>
      </c>
      <c r="I113" cm="1">
        <f t="array" ref="I113">_xlfn.IFS(H113="Credit Card",1,H113="PayPal",2,H113="Cash",3,H113="Bank Transfer",4,TRUE,5)</f>
        <v>3</v>
      </c>
    </row>
    <row r="114" spans="1:9" x14ac:dyDescent="0.3">
      <c r="A114">
        <v>56</v>
      </c>
      <c r="B114">
        <v>988</v>
      </c>
      <c r="C114">
        <v>505</v>
      </c>
      <c r="D114">
        <v>1</v>
      </c>
      <c r="E114" s="1">
        <v>45479</v>
      </c>
      <c r="F114">
        <v>18</v>
      </c>
      <c r="G114">
        <v>1654.73</v>
      </c>
      <c r="H114" t="s">
        <v>8</v>
      </c>
      <c r="I114" cm="1">
        <f t="array" ref="I114">_xlfn.IFS(H114="Credit Card",1,H114="PayPal",2,H114="Cash",3,H114="Bank Transfer",4,TRUE,5)</f>
        <v>4</v>
      </c>
    </row>
    <row r="115" spans="1:9" x14ac:dyDescent="0.3">
      <c r="A115">
        <v>57</v>
      </c>
      <c r="B115">
        <v>783</v>
      </c>
      <c r="C115">
        <v>535</v>
      </c>
      <c r="D115">
        <v>3</v>
      </c>
      <c r="E115" s="1">
        <v>45629</v>
      </c>
      <c r="F115">
        <v>20</v>
      </c>
      <c r="G115">
        <v>425.02</v>
      </c>
      <c r="H115" t="s">
        <v>10</v>
      </c>
      <c r="I115" cm="1">
        <f t="array" ref="I115">_xlfn.IFS(H115="Credit Card",1,H115="PayPal",2,H115="Cash",3,H115="Bank Transfer",4,TRUE,5)</f>
        <v>3</v>
      </c>
    </row>
    <row r="116" spans="1:9" x14ac:dyDescent="0.3">
      <c r="A116">
        <v>58</v>
      </c>
      <c r="B116">
        <v>726</v>
      </c>
      <c r="C116">
        <v>899</v>
      </c>
      <c r="D116">
        <v>1</v>
      </c>
      <c r="E116" s="1">
        <v>45427</v>
      </c>
      <c r="F116">
        <v>6</v>
      </c>
      <c r="G116">
        <v>1859.34</v>
      </c>
      <c r="H116" t="s">
        <v>10</v>
      </c>
      <c r="I116" cm="1">
        <f t="array" ref="I116">_xlfn.IFS(H116="Credit Card",1,H116="PayPal",2,H116="Cash",3,H116="Bank Transfer",4,TRUE,5)</f>
        <v>3</v>
      </c>
    </row>
    <row r="117" spans="1:9" x14ac:dyDescent="0.3">
      <c r="A117">
        <v>59</v>
      </c>
      <c r="B117">
        <v>216</v>
      </c>
      <c r="C117">
        <v>666</v>
      </c>
      <c r="D117">
        <v>2</v>
      </c>
      <c r="E117" s="1">
        <v>45306</v>
      </c>
      <c r="F117">
        <v>10</v>
      </c>
      <c r="G117">
        <v>402.44</v>
      </c>
      <c r="H117" t="s">
        <v>10</v>
      </c>
      <c r="I117" cm="1">
        <f t="array" ref="I117">_xlfn.IFS(H117="Credit Card",1,H117="PayPal",2,H117="Cash",3,H117="Bank Transfer",4,TRUE,5)</f>
        <v>3</v>
      </c>
    </row>
    <row r="118" spans="1:9" x14ac:dyDescent="0.3">
      <c r="A118">
        <v>60</v>
      </c>
      <c r="B118">
        <v>879</v>
      </c>
      <c r="C118">
        <v>142</v>
      </c>
      <c r="D118">
        <v>5</v>
      </c>
      <c r="E118" s="1">
        <v>45472</v>
      </c>
      <c r="F118">
        <v>3</v>
      </c>
      <c r="G118">
        <v>1364.33</v>
      </c>
      <c r="H118" t="s">
        <v>9</v>
      </c>
      <c r="I118" cm="1">
        <f t="array" ref="I118">_xlfn.IFS(H118="Credit Card",1,H118="PayPal",2,H118="Cash",3,H118="Bank Transfer",4,TRUE,5)</f>
        <v>1</v>
      </c>
    </row>
    <row r="119" spans="1:9" x14ac:dyDescent="0.3">
      <c r="A119">
        <v>61</v>
      </c>
      <c r="B119">
        <v>379</v>
      </c>
      <c r="C119">
        <v>770</v>
      </c>
      <c r="D119">
        <v>1</v>
      </c>
      <c r="E119" s="1">
        <v>45369</v>
      </c>
      <c r="F119">
        <v>16</v>
      </c>
      <c r="G119">
        <v>922.52</v>
      </c>
      <c r="H119" t="s">
        <v>10</v>
      </c>
      <c r="I119" cm="1">
        <f t="array" ref="I119">_xlfn.IFS(H119="Credit Card",1,H119="PayPal",2,H119="Cash",3,H119="Bank Transfer",4,TRUE,5)</f>
        <v>3</v>
      </c>
    </row>
    <row r="120" spans="1:9" x14ac:dyDescent="0.3">
      <c r="A120">
        <v>62</v>
      </c>
      <c r="B120">
        <v>72</v>
      </c>
      <c r="C120">
        <v>184</v>
      </c>
      <c r="D120">
        <v>2</v>
      </c>
      <c r="E120" s="1">
        <v>45582</v>
      </c>
      <c r="F120">
        <v>5</v>
      </c>
      <c r="G120">
        <v>581</v>
      </c>
      <c r="H120" t="s">
        <v>9</v>
      </c>
      <c r="I120" cm="1">
        <f t="array" ref="I120">_xlfn.IFS(H120="Credit Card",1,H120="PayPal",2,H120="Cash",3,H120="Bank Transfer",4,TRUE,5)</f>
        <v>1</v>
      </c>
    </row>
    <row r="121" spans="1:9" x14ac:dyDescent="0.3">
      <c r="A121">
        <v>63</v>
      </c>
      <c r="B121">
        <v>77</v>
      </c>
      <c r="C121">
        <v>95</v>
      </c>
      <c r="D121">
        <v>2</v>
      </c>
      <c r="E121" s="1">
        <v>45620</v>
      </c>
      <c r="F121">
        <v>12</v>
      </c>
      <c r="G121">
        <v>1271.97</v>
      </c>
      <c r="H121" t="s">
        <v>9</v>
      </c>
      <c r="I121" cm="1">
        <f t="array" ref="I121">_xlfn.IFS(H121="Credit Card",1,H121="PayPal",2,H121="Cash",3,H121="Bank Transfer",4,TRUE,5)</f>
        <v>1</v>
      </c>
    </row>
    <row r="122" spans="1:9" x14ac:dyDescent="0.3">
      <c r="A122">
        <v>64</v>
      </c>
      <c r="B122">
        <v>884</v>
      </c>
      <c r="C122">
        <v>899</v>
      </c>
      <c r="D122">
        <v>3</v>
      </c>
      <c r="E122" s="1">
        <v>45335</v>
      </c>
      <c r="F122">
        <v>6</v>
      </c>
      <c r="G122">
        <v>381.11</v>
      </c>
      <c r="H122" t="s">
        <v>9</v>
      </c>
      <c r="I122" cm="1">
        <f t="array" ref="I122">_xlfn.IFS(H122="Credit Card",1,H122="PayPal",2,H122="Cash",3,H122="Bank Transfer",4,TRUE,5)</f>
        <v>1</v>
      </c>
    </row>
    <row r="123" spans="1:9" x14ac:dyDescent="0.3">
      <c r="A123">
        <v>65</v>
      </c>
      <c r="B123">
        <v>771</v>
      </c>
      <c r="C123">
        <v>741</v>
      </c>
      <c r="D123">
        <v>5</v>
      </c>
      <c r="E123" s="1">
        <v>45569</v>
      </c>
      <c r="F123">
        <v>2</v>
      </c>
      <c r="G123">
        <v>1372.61</v>
      </c>
      <c r="H123" t="s">
        <v>8</v>
      </c>
      <c r="I123" cm="1">
        <f t="array" ref="I123">_xlfn.IFS(H123="Credit Card",1,H123="PayPal",2,H123="Cash",3,H123="Bank Transfer",4,TRUE,5)</f>
        <v>4</v>
      </c>
    </row>
    <row r="124" spans="1:9" x14ac:dyDescent="0.3">
      <c r="A124">
        <v>66</v>
      </c>
      <c r="B124">
        <v>22</v>
      </c>
      <c r="C124">
        <v>757</v>
      </c>
      <c r="D124">
        <v>2</v>
      </c>
      <c r="E124" s="1">
        <v>45435</v>
      </c>
      <c r="F124">
        <v>17</v>
      </c>
      <c r="G124">
        <v>876.97</v>
      </c>
      <c r="H124" t="s">
        <v>11</v>
      </c>
      <c r="I124" cm="1">
        <f t="array" ref="I124">_xlfn.IFS(H124="Credit Card",1,H124="PayPal",2,H124="Cash",3,H124="Bank Transfer",4,TRUE,5)</f>
        <v>2</v>
      </c>
    </row>
    <row r="125" spans="1:9" x14ac:dyDescent="0.3">
      <c r="A125">
        <v>68</v>
      </c>
      <c r="B125">
        <v>507</v>
      </c>
      <c r="C125">
        <v>141</v>
      </c>
      <c r="D125">
        <v>3</v>
      </c>
      <c r="E125" s="1">
        <v>45538</v>
      </c>
      <c r="F125">
        <v>14</v>
      </c>
      <c r="G125">
        <v>309.74</v>
      </c>
      <c r="H125" t="s">
        <v>10</v>
      </c>
      <c r="I125" cm="1">
        <f t="array" ref="I125">_xlfn.IFS(H125="Credit Card",1,H125="PayPal",2,H125="Cash",3,H125="Bank Transfer",4,TRUE,5)</f>
        <v>3</v>
      </c>
    </row>
    <row r="126" spans="1:9" x14ac:dyDescent="0.3">
      <c r="A126">
        <v>69</v>
      </c>
      <c r="B126">
        <v>882</v>
      </c>
      <c r="C126">
        <v>605</v>
      </c>
      <c r="D126">
        <v>3</v>
      </c>
      <c r="E126" s="1">
        <v>45549</v>
      </c>
      <c r="F126">
        <v>15</v>
      </c>
      <c r="G126">
        <v>1286.3800000000001</v>
      </c>
      <c r="H126" t="s">
        <v>11</v>
      </c>
      <c r="I126" cm="1">
        <f t="array" ref="I126">_xlfn.IFS(H126="Credit Card",1,H126="PayPal",2,H126="Cash",3,H126="Bank Transfer",4,TRUE,5)</f>
        <v>2</v>
      </c>
    </row>
    <row r="127" spans="1:9" x14ac:dyDescent="0.3">
      <c r="A127">
        <v>71</v>
      </c>
      <c r="B127">
        <v>581</v>
      </c>
      <c r="C127">
        <v>304</v>
      </c>
      <c r="D127">
        <v>5</v>
      </c>
      <c r="E127" s="1">
        <v>45343</v>
      </c>
      <c r="F127">
        <v>20</v>
      </c>
      <c r="G127">
        <v>1114.48</v>
      </c>
      <c r="H127" t="s">
        <v>10</v>
      </c>
      <c r="I127" cm="1">
        <f t="array" ref="I127">_xlfn.IFS(H127="Credit Card",1,H127="PayPal",2,H127="Cash",3,H127="Bank Transfer",4,TRUE,5)</f>
        <v>3</v>
      </c>
    </row>
    <row r="128" spans="1:9" x14ac:dyDescent="0.3">
      <c r="A128">
        <v>73</v>
      </c>
      <c r="B128">
        <v>372</v>
      </c>
      <c r="C128">
        <v>690</v>
      </c>
      <c r="D128">
        <v>4</v>
      </c>
      <c r="E128" s="1">
        <v>45600</v>
      </c>
      <c r="F128">
        <v>15</v>
      </c>
      <c r="G128">
        <v>663.3</v>
      </c>
      <c r="H128" t="s">
        <v>11</v>
      </c>
      <c r="I128" cm="1">
        <f t="array" ref="I128">_xlfn.IFS(H128="Credit Card",1,H128="PayPal",2,H128="Cash",3,H128="Bank Transfer",4,TRUE,5)</f>
        <v>2</v>
      </c>
    </row>
    <row r="129" spans="1:9" x14ac:dyDescent="0.3">
      <c r="A129">
        <v>74</v>
      </c>
      <c r="B129">
        <v>691</v>
      </c>
      <c r="C129">
        <v>946</v>
      </c>
      <c r="D129">
        <v>1</v>
      </c>
      <c r="E129" s="1">
        <v>45448</v>
      </c>
      <c r="F129">
        <v>15</v>
      </c>
      <c r="G129">
        <v>759.96</v>
      </c>
      <c r="H129" t="s">
        <v>10</v>
      </c>
      <c r="I129" cm="1">
        <f t="array" ref="I129">_xlfn.IFS(H129="Credit Card",1,H129="PayPal",2,H129="Cash",3,H129="Bank Transfer",4,TRUE,5)</f>
        <v>3</v>
      </c>
    </row>
    <row r="130" spans="1:9" x14ac:dyDescent="0.3">
      <c r="A130">
        <v>75</v>
      </c>
      <c r="B130">
        <v>930</v>
      </c>
      <c r="C130">
        <v>66</v>
      </c>
      <c r="D130">
        <v>2</v>
      </c>
      <c r="E130" s="1">
        <v>45302</v>
      </c>
      <c r="F130">
        <v>2</v>
      </c>
      <c r="G130">
        <v>866.41</v>
      </c>
      <c r="H130" t="s">
        <v>9</v>
      </c>
      <c r="I130" cm="1">
        <f t="array" ref="I130">_xlfn.IFS(H130="Credit Card",1,H130="PayPal",2,H130="Cash",3,H130="Bank Transfer",4,TRUE,5)</f>
        <v>1</v>
      </c>
    </row>
    <row r="131" spans="1:9" x14ac:dyDescent="0.3">
      <c r="A131">
        <v>76</v>
      </c>
      <c r="B131">
        <v>148</v>
      </c>
      <c r="C131">
        <v>291</v>
      </c>
      <c r="D131">
        <v>2</v>
      </c>
      <c r="E131" s="1">
        <v>45595</v>
      </c>
      <c r="F131">
        <v>3</v>
      </c>
      <c r="G131">
        <v>70.83</v>
      </c>
      <c r="H131" t="s">
        <v>8</v>
      </c>
      <c r="I131" cm="1">
        <f t="array" ref="I131">_xlfn.IFS(H131="Credit Card",1,H131="PayPal",2,H131="Cash",3,H131="Bank Transfer",4,TRUE,5)</f>
        <v>4</v>
      </c>
    </row>
    <row r="132" spans="1:9" x14ac:dyDescent="0.3">
      <c r="A132">
        <v>77</v>
      </c>
      <c r="B132">
        <v>472</v>
      </c>
      <c r="C132">
        <v>802</v>
      </c>
      <c r="D132">
        <v>2</v>
      </c>
      <c r="E132" s="1">
        <v>45378</v>
      </c>
      <c r="F132">
        <v>11</v>
      </c>
      <c r="G132">
        <v>841.77</v>
      </c>
      <c r="H132" t="s">
        <v>8</v>
      </c>
      <c r="I132" cm="1">
        <f t="array" ref="I132">_xlfn.IFS(H132="Credit Card",1,H132="PayPal",2,H132="Cash",3,H132="Bank Transfer",4,TRUE,5)</f>
        <v>4</v>
      </c>
    </row>
    <row r="133" spans="1:9" x14ac:dyDescent="0.3">
      <c r="A133">
        <v>78</v>
      </c>
      <c r="B133">
        <v>639</v>
      </c>
      <c r="C133">
        <v>504</v>
      </c>
      <c r="D133">
        <v>2</v>
      </c>
      <c r="E133" s="1">
        <v>45545</v>
      </c>
      <c r="F133">
        <v>12</v>
      </c>
      <c r="G133">
        <v>65.400000000000006</v>
      </c>
      <c r="H133" t="s">
        <v>9</v>
      </c>
      <c r="I133" cm="1">
        <f t="array" ref="I133">_xlfn.IFS(H133="Credit Card",1,H133="PayPal",2,H133="Cash",3,H133="Bank Transfer",4,TRUE,5)</f>
        <v>1</v>
      </c>
    </row>
    <row r="134" spans="1:9" x14ac:dyDescent="0.3">
      <c r="A134">
        <v>79</v>
      </c>
      <c r="B134">
        <v>650</v>
      </c>
      <c r="C134">
        <v>564</v>
      </c>
      <c r="D134">
        <v>2</v>
      </c>
      <c r="E134" s="1">
        <v>45543</v>
      </c>
      <c r="F134">
        <v>14</v>
      </c>
      <c r="G134">
        <v>1535.79</v>
      </c>
      <c r="H134" t="s">
        <v>11</v>
      </c>
      <c r="I134" cm="1">
        <f t="array" ref="I134">_xlfn.IFS(H134="Credit Card",1,H134="PayPal",2,H134="Cash",3,H134="Bank Transfer",4,TRUE,5)</f>
        <v>2</v>
      </c>
    </row>
    <row r="135" spans="1:9" x14ac:dyDescent="0.3">
      <c r="A135">
        <v>80</v>
      </c>
      <c r="B135">
        <v>444</v>
      </c>
      <c r="C135">
        <v>636</v>
      </c>
      <c r="D135">
        <v>3</v>
      </c>
      <c r="E135" s="1">
        <v>45558</v>
      </c>
      <c r="F135">
        <v>4</v>
      </c>
      <c r="G135">
        <v>1201.56</v>
      </c>
      <c r="H135" t="s">
        <v>11</v>
      </c>
      <c r="I135" cm="1">
        <f t="array" ref="I135">_xlfn.IFS(H135="Credit Card",1,H135="PayPal",2,H135="Cash",3,H135="Bank Transfer",4,TRUE,5)</f>
        <v>2</v>
      </c>
    </row>
    <row r="136" spans="1:9" x14ac:dyDescent="0.3">
      <c r="A136">
        <v>81</v>
      </c>
      <c r="B136">
        <v>248</v>
      </c>
      <c r="C136">
        <v>124</v>
      </c>
      <c r="D136">
        <v>1</v>
      </c>
      <c r="E136" s="1">
        <v>45622</v>
      </c>
      <c r="F136">
        <v>11</v>
      </c>
      <c r="G136">
        <v>622.17999999999995</v>
      </c>
      <c r="H136" t="s">
        <v>10</v>
      </c>
      <c r="I136" cm="1">
        <f t="array" ref="I136">_xlfn.IFS(H136="Credit Card",1,H136="PayPal",2,H136="Cash",3,H136="Bank Transfer",4,TRUE,5)</f>
        <v>3</v>
      </c>
    </row>
    <row r="137" spans="1:9" x14ac:dyDescent="0.3">
      <c r="A137">
        <v>82</v>
      </c>
      <c r="B137">
        <v>902</v>
      </c>
      <c r="C137">
        <v>730</v>
      </c>
      <c r="D137">
        <v>2</v>
      </c>
      <c r="E137" s="1">
        <v>45589</v>
      </c>
      <c r="F137">
        <v>19</v>
      </c>
      <c r="G137">
        <v>1061.3499999999999</v>
      </c>
      <c r="H137" t="s">
        <v>8</v>
      </c>
      <c r="I137" cm="1">
        <f t="array" ref="I137">_xlfn.IFS(H137="Credit Card",1,H137="PayPal",2,H137="Cash",3,H137="Bank Transfer",4,TRUE,5)</f>
        <v>4</v>
      </c>
    </row>
    <row r="138" spans="1:9" x14ac:dyDescent="0.3">
      <c r="A138">
        <v>83</v>
      </c>
      <c r="B138">
        <v>405</v>
      </c>
      <c r="C138">
        <v>546</v>
      </c>
      <c r="D138">
        <v>3</v>
      </c>
      <c r="E138" s="1">
        <v>45390</v>
      </c>
      <c r="F138">
        <v>9</v>
      </c>
      <c r="G138">
        <v>1400.81</v>
      </c>
      <c r="H138" t="s">
        <v>10</v>
      </c>
      <c r="I138" cm="1">
        <f t="array" ref="I138">_xlfn.IFS(H138="Credit Card",1,H138="PayPal",2,H138="Cash",3,H138="Bank Transfer",4,TRUE,5)</f>
        <v>3</v>
      </c>
    </row>
    <row r="139" spans="1:9" x14ac:dyDescent="0.3">
      <c r="A139">
        <v>84</v>
      </c>
      <c r="B139">
        <v>866</v>
      </c>
      <c r="C139">
        <v>154</v>
      </c>
      <c r="D139">
        <v>1</v>
      </c>
      <c r="E139" s="1">
        <v>45479</v>
      </c>
      <c r="F139">
        <v>12</v>
      </c>
      <c r="G139">
        <v>472.74</v>
      </c>
      <c r="H139" t="s">
        <v>11</v>
      </c>
      <c r="I139" cm="1">
        <f t="array" ref="I139">_xlfn.IFS(H139="Credit Card",1,H139="PayPal",2,H139="Cash",3,H139="Bank Transfer",4,TRUE,5)</f>
        <v>2</v>
      </c>
    </row>
    <row r="140" spans="1:9" x14ac:dyDescent="0.3">
      <c r="A140">
        <v>85</v>
      </c>
      <c r="B140">
        <v>256</v>
      </c>
      <c r="C140">
        <v>447</v>
      </c>
      <c r="D140">
        <v>3</v>
      </c>
      <c r="E140" s="1">
        <v>45311</v>
      </c>
      <c r="F140">
        <v>6</v>
      </c>
      <c r="G140">
        <v>1387.63</v>
      </c>
      <c r="H140" t="s">
        <v>9</v>
      </c>
      <c r="I140" cm="1">
        <f t="array" ref="I140">_xlfn.IFS(H140="Credit Card",1,H140="PayPal",2,H140="Cash",3,H140="Bank Transfer",4,TRUE,5)</f>
        <v>1</v>
      </c>
    </row>
    <row r="141" spans="1:9" x14ac:dyDescent="0.3">
      <c r="A141">
        <v>86</v>
      </c>
      <c r="B141">
        <v>642</v>
      </c>
      <c r="C141">
        <v>97</v>
      </c>
      <c r="D141">
        <v>4</v>
      </c>
      <c r="E141" s="1">
        <v>45533</v>
      </c>
      <c r="F141">
        <v>9</v>
      </c>
      <c r="G141">
        <v>1319.31</v>
      </c>
      <c r="H141" t="s">
        <v>8</v>
      </c>
      <c r="I141" cm="1">
        <f t="array" ref="I141">_xlfn.IFS(H141="Credit Card",1,H141="PayPal",2,H141="Cash",3,H141="Bank Transfer",4,TRUE,5)</f>
        <v>4</v>
      </c>
    </row>
    <row r="142" spans="1:9" x14ac:dyDescent="0.3">
      <c r="A142">
        <v>87</v>
      </c>
      <c r="B142">
        <v>258</v>
      </c>
      <c r="C142">
        <v>705</v>
      </c>
      <c r="D142">
        <v>4</v>
      </c>
      <c r="E142" s="1">
        <v>45398</v>
      </c>
      <c r="F142">
        <v>2</v>
      </c>
      <c r="G142">
        <v>1695.97</v>
      </c>
      <c r="H142" t="s">
        <v>9</v>
      </c>
      <c r="I142" cm="1">
        <f t="array" ref="I142">_xlfn.IFS(H142="Credit Card",1,H142="PayPal",2,H142="Cash",3,H142="Bank Transfer",4,TRUE,5)</f>
        <v>1</v>
      </c>
    </row>
    <row r="143" spans="1:9" x14ac:dyDescent="0.3">
      <c r="A143">
        <v>88</v>
      </c>
      <c r="B143">
        <v>97</v>
      </c>
      <c r="C143">
        <v>39</v>
      </c>
      <c r="D143">
        <v>5</v>
      </c>
      <c r="E143" s="1">
        <v>45599</v>
      </c>
      <c r="F143">
        <v>16</v>
      </c>
      <c r="G143">
        <v>118.36</v>
      </c>
      <c r="H143" t="s">
        <v>9</v>
      </c>
      <c r="I143" cm="1">
        <f t="array" ref="I143">_xlfn.IFS(H143="Credit Card",1,H143="PayPal",2,H143="Cash",3,H143="Bank Transfer",4,TRUE,5)</f>
        <v>1</v>
      </c>
    </row>
    <row r="144" spans="1:9" x14ac:dyDescent="0.3">
      <c r="A144">
        <v>89</v>
      </c>
      <c r="B144">
        <v>525</v>
      </c>
      <c r="C144">
        <v>168</v>
      </c>
      <c r="D144">
        <v>1</v>
      </c>
      <c r="E144" s="1">
        <v>45416</v>
      </c>
      <c r="F144">
        <v>11</v>
      </c>
      <c r="G144">
        <v>1966.53</v>
      </c>
      <c r="H144" t="s">
        <v>11</v>
      </c>
      <c r="I144" cm="1">
        <f t="array" ref="I144">_xlfn.IFS(H144="Credit Card",1,H144="PayPal",2,H144="Cash",3,H144="Bank Transfer",4,TRUE,5)</f>
        <v>2</v>
      </c>
    </row>
    <row r="145" spans="1:9" x14ac:dyDescent="0.3">
      <c r="A145">
        <v>90</v>
      </c>
      <c r="B145">
        <v>130</v>
      </c>
      <c r="C145">
        <v>997</v>
      </c>
      <c r="D145">
        <v>3</v>
      </c>
      <c r="E145" s="1">
        <v>45545</v>
      </c>
      <c r="F145">
        <v>17</v>
      </c>
      <c r="G145">
        <v>1725.15</v>
      </c>
      <c r="H145" t="s">
        <v>8</v>
      </c>
      <c r="I145" cm="1">
        <f t="array" ref="I145">_xlfn.IFS(H145="Credit Card",1,H145="PayPal",2,H145="Cash",3,H145="Bank Transfer",4,TRUE,5)</f>
        <v>4</v>
      </c>
    </row>
    <row r="146" spans="1:9" x14ac:dyDescent="0.3">
      <c r="A146">
        <v>91</v>
      </c>
      <c r="B146">
        <v>469</v>
      </c>
      <c r="C146">
        <v>556</v>
      </c>
      <c r="D146">
        <v>1</v>
      </c>
      <c r="E146" s="1">
        <v>45401</v>
      </c>
      <c r="F146">
        <v>1</v>
      </c>
      <c r="G146">
        <v>786.12</v>
      </c>
      <c r="H146" t="s">
        <v>8</v>
      </c>
      <c r="I146" cm="1">
        <f t="array" ref="I146">_xlfn.IFS(H146="Credit Card",1,H146="PayPal",2,H146="Cash",3,H146="Bank Transfer",4,TRUE,5)</f>
        <v>4</v>
      </c>
    </row>
    <row r="147" spans="1:9" x14ac:dyDescent="0.3">
      <c r="A147">
        <v>92</v>
      </c>
      <c r="B147">
        <v>864</v>
      </c>
      <c r="C147">
        <v>758</v>
      </c>
      <c r="D147">
        <v>3</v>
      </c>
      <c r="E147" s="1">
        <v>45360</v>
      </c>
      <c r="F147">
        <v>20</v>
      </c>
      <c r="G147">
        <v>1813.09</v>
      </c>
      <c r="H147" t="s">
        <v>10</v>
      </c>
      <c r="I147" cm="1">
        <f t="array" ref="I147">_xlfn.IFS(H147="Credit Card",1,H147="PayPal",2,H147="Cash",3,H147="Bank Transfer",4,TRUE,5)</f>
        <v>3</v>
      </c>
    </row>
    <row r="148" spans="1:9" x14ac:dyDescent="0.3">
      <c r="A148">
        <v>94</v>
      </c>
      <c r="B148">
        <v>597</v>
      </c>
      <c r="C148">
        <v>958</v>
      </c>
      <c r="D148">
        <v>2</v>
      </c>
      <c r="E148" s="1">
        <v>45319</v>
      </c>
      <c r="F148">
        <v>15</v>
      </c>
      <c r="G148">
        <v>1589.5</v>
      </c>
      <c r="H148" t="s">
        <v>8</v>
      </c>
      <c r="I148" cm="1">
        <f t="array" ref="I148">_xlfn.IFS(H148="Credit Card",1,H148="PayPal",2,H148="Cash",3,H148="Bank Transfer",4,TRUE,5)</f>
        <v>4</v>
      </c>
    </row>
    <row r="149" spans="1:9" x14ac:dyDescent="0.3">
      <c r="A149">
        <v>95</v>
      </c>
      <c r="B149">
        <v>927</v>
      </c>
      <c r="C149">
        <v>709</v>
      </c>
      <c r="D149">
        <v>1</v>
      </c>
      <c r="E149" s="1">
        <v>45419</v>
      </c>
      <c r="F149">
        <v>5</v>
      </c>
      <c r="G149">
        <v>1231.7</v>
      </c>
      <c r="H149" t="s">
        <v>8</v>
      </c>
      <c r="I149" cm="1">
        <f t="array" ref="I149">_xlfn.IFS(H149="Credit Card",1,H149="PayPal",2,H149="Cash",3,H149="Bank Transfer",4,TRUE,5)</f>
        <v>4</v>
      </c>
    </row>
    <row r="150" spans="1:9" x14ac:dyDescent="0.3">
      <c r="A150">
        <v>96</v>
      </c>
      <c r="B150">
        <v>957</v>
      </c>
      <c r="C150">
        <v>40</v>
      </c>
      <c r="D150">
        <v>5</v>
      </c>
      <c r="E150" s="1">
        <v>45612</v>
      </c>
      <c r="F150">
        <v>13</v>
      </c>
      <c r="G150">
        <v>916.37</v>
      </c>
      <c r="H150" t="s">
        <v>9</v>
      </c>
      <c r="I150" cm="1">
        <f t="array" ref="I150">_xlfn.IFS(H150="Credit Card",1,H150="PayPal",2,H150="Cash",3,H150="Bank Transfer",4,TRUE,5)</f>
        <v>1</v>
      </c>
    </row>
    <row r="151" spans="1:9" x14ac:dyDescent="0.3">
      <c r="A151">
        <v>97</v>
      </c>
      <c r="B151">
        <v>798</v>
      </c>
      <c r="C151">
        <v>511</v>
      </c>
      <c r="D151">
        <v>4</v>
      </c>
      <c r="E151" s="1">
        <v>45567</v>
      </c>
      <c r="F151">
        <v>13</v>
      </c>
      <c r="G151">
        <v>278.58999999999997</v>
      </c>
      <c r="H151" t="s">
        <v>10</v>
      </c>
      <c r="I151" cm="1">
        <f t="array" ref="I151">_xlfn.IFS(H151="Credit Card",1,H151="PayPal",2,H151="Cash",3,H151="Bank Transfer",4,TRUE,5)</f>
        <v>3</v>
      </c>
    </row>
    <row r="152" spans="1:9" x14ac:dyDescent="0.3">
      <c r="A152">
        <v>98</v>
      </c>
      <c r="B152">
        <v>895</v>
      </c>
      <c r="C152">
        <v>166</v>
      </c>
      <c r="D152">
        <v>2</v>
      </c>
      <c r="E152" s="1">
        <v>45574</v>
      </c>
      <c r="F152">
        <v>8</v>
      </c>
      <c r="G152">
        <v>916.81</v>
      </c>
      <c r="H152" t="s">
        <v>10</v>
      </c>
      <c r="I152" cm="1">
        <f t="array" ref="I152">_xlfn.IFS(H152="Credit Card",1,H152="PayPal",2,H152="Cash",3,H152="Bank Transfer",4,TRUE,5)</f>
        <v>3</v>
      </c>
    </row>
    <row r="153" spans="1:9" x14ac:dyDescent="0.3">
      <c r="A153">
        <v>99</v>
      </c>
      <c r="B153">
        <v>146</v>
      </c>
      <c r="C153">
        <v>117</v>
      </c>
      <c r="D153">
        <v>3</v>
      </c>
      <c r="E153" s="1">
        <v>45624</v>
      </c>
      <c r="F153">
        <v>19</v>
      </c>
      <c r="G153">
        <v>1620.79</v>
      </c>
      <c r="H153" t="s">
        <v>11</v>
      </c>
      <c r="I153" cm="1">
        <f t="array" ref="I153">_xlfn.IFS(H153="Credit Card",1,H153="PayPal",2,H153="Cash",3,H153="Bank Transfer",4,TRUE,5)</f>
        <v>2</v>
      </c>
    </row>
    <row r="154" spans="1:9" x14ac:dyDescent="0.3">
      <c r="A154">
        <v>100</v>
      </c>
      <c r="B154">
        <v>916</v>
      </c>
      <c r="C154">
        <v>544</v>
      </c>
      <c r="D154">
        <v>5</v>
      </c>
      <c r="E154" s="1">
        <v>45519</v>
      </c>
      <c r="F154">
        <v>18</v>
      </c>
      <c r="G154">
        <v>340.6</v>
      </c>
      <c r="H154" t="s">
        <v>9</v>
      </c>
      <c r="I154" cm="1">
        <f t="array" ref="I154">_xlfn.IFS(H154="Credit Card",1,H154="PayPal",2,H154="Cash",3,H154="Bank Transfer",4,TRUE,5)</f>
        <v>1</v>
      </c>
    </row>
    <row r="155" spans="1:9" x14ac:dyDescent="0.3">
      <c r="A155">
        <v>101</v>
      </c>
      <c r="B155">
        <v>441</v>
      </c>
      <c r="C155">
        <v>154</v>
      </c>
      <c r="D155">
        <v>1</v>
      </c>
      <c r="E155" s="1">
        <v>45382</v>
      </c>
      <c r="F155">
        <v>16</v>
      </c>
      <c r="G155">
        <v>694.46</v>
      </c>
      <c r="H155" t="s">
        <v>8</v>
      </c>
      <c r="I155" cm="1">
        <f t="array" ref="I155">_xlfn.IFS(H155="Credit Card",1,H155="PayPal",2,H155="Cash",3,H155="Bank Transfer",4,TRUE,5)</f>
        <v>4</v>
      </c>
    </row>
    <row r="156" spans="1:9" x14ac:dyDescent="0.3">
      <c r="A156">
        <v>102</v>
      </c>
      <c r="B156">
        <v>418</v>
      </c>
      <c r="C156">
        <v>738</v>
      </c>
      <c r="D156">
        <v>3</v>
      </c>
      <c r="E156" s="1">
        <v>45550</v>
      </c>
      <c r="F156">
        <v>15</v>
      </c>
      <c r="G156">
        <v>55.34</v>
      </c>
      <c r="H156" t="s">
        <v>9</v>
      </c>
      <c r="I156" cm="1">
        <f t="array" ref="I156">_xlfn.IFS(H156="Credit Card",1,H156="PayPal",2,H156="Cash",3,H156="Bank Transfer",4,TRUE,5)</f>
        <v>1</v>
      </c>
    </row>
    <row r="157" spans="1:9" x14ac:dyDescent="0.3">
      <c r="A157">
        <v>103</v>
      </c>
      <c r="B157">
        <v>529</v>
      </c>
      <c r="C157">
        <v>2</v>
      </c>
      <c r="D157">
        <v>2</v>
      </c>
      <c r="E157" s="1">
        <v>45503</v>
      </c>
      <c r="F157">
        <v>18</v>
      </c>
      <c r="G157">
        <v>745.81</v>
      </c>
      <c r="H157" t="s">
        <v>10</v>
      </c>
      <c r="I157" cm="1">
        <f t="array" ref="I157">_xlfn.IFS(H157="Credit Card",1,H157="PayPal",2,H157="Cash",3,H157="Bank Transfer",4,TRUE,5)</f>
        <v>3</v>
      </c>
    </row>
    <row r="158" spans="1:9" x14ac:dyDescent="0.3">
      <c r="A158">
        <v>104</v>
      </c>
      <c r="B158">
        <v>37</v>
      </c>
      <c r="C158">
        <v>722</v>
      </c>
      <c r="D158">
        <v>2</v>
      </c>
      <c r="E158" s="1">
        <v>45625</v>
      </c>
      <c r="F158">
        <v>7</v>
      </c>
      <c r="G158">
        <v>1621.75</v>
      </c>
      <c r="H158" t="s">
        <v>10</v>
      </c>
      <c r="I158" cm="1">
        <f t="array" ref="I158">_xlfn.IFS(H158="Credit Card",1,H158="PayPal",2,H158="Cash",3,H158="Bank Transfer",4,TRUE,5)</f>
        <v>3</v>
      </c>
    </row>
    <row r="159" spans="1:9" x14ac:dyDescent="0.3">
      <c r="A159">
        <v>105</v>
      </c>
      <c r="B159">
        <v>44</v>
      </c>
      <c r="C159">
        <v>492</v>
      </c>
      <c r="D159">
        <v>4</v>
      </c>
      <c r="E159" s="1">
        <v>45317</v>
      </c>
      <c r="F159">
        <v>17</v>
      </c>
      <c r="G159">
        <v>1811.74</v>
      </c>
      <c r="H159" t="s">
        <v>11</v>
      </c>
      <c r="I159" cm="1">
        <f t="array" ref="I159">_xlfn.IFS(H159="Credit Card",1,H159="PayPal",2,H159="Cash",3,H159="Bank Transfer",4,TRUE,5)</f>
        <v>2</v>
      </c>
    </row>
    <row r="160" spans="1:9" x14ac:dyDescent="0.3">
      <c r="A160">
        <v>106</v>
      </c>
      <c r="B160">
        <v>719</v>
      </c>
      <c r="C160">
        <v>761</v>
      </c>
      <c r="D160">
        <v>4</v>
      </c>
      <c r="E160" s="1">
        <v>45353</v>
      </c>
      <c r="F160">
        <v>18</v>
      </c>
      <c r="G160">
        <v>1741.66</v>
      </c>
      <c r="H160" t="s">
        <v>11</v>
      </c>
      <c r="I160" cm="1">
        <f t="array" ref="I160">_xlfn.IFS(H160="Credit Card",1,H160="PayPal",2,H160="Cash",3,H160="Bank Transfer",4,TRUE,5)</f>
        <v>2</v>
      </c>
    </row>
    <row r="161" spans="1:9" x14ac:dyDescent="0.3">
      <c r="A161">
        <v>107</v>
      </c>
      <c r="B161">
        <v>465</v>
      </c>
      <c r="C161">
        <v>254</v>
      </c>
      <c r="D161">
        <v>2</v>
      </c>
      <c r="E161" s="1">
        <v>45300</v>
      </c>
      <c r="F161">
        <v>12</v>
      </c>
      <c r="G161">
        <v>1663.23</v>
      </c>
      <c r="H161" t="s">
        <v>10</v>
      </c>
      <c r="I161" cm="1">
        <f t="array" ref="I161">_xlfn.IFS(H161="Credit Card",1,H161="PayPal",2,H161="Cash",3,H161="Bank Transfer",4,TRUE,5)</f>
        <v>3</v>
      </c>
    </row>
    <row r="162" spans="1:9" x14ac:dyDescent="0.3">
      <c r="A162">
        <v>108</v>
      </c>
      <c r="B162">
        <v>304</v>
      </c>
      <c r="C162">
        <v>427</v>
      </c>
      <c r="D162">
        <v>4</v>
      </c>
      <c r="E162" s="1">
        <v>45458</v>
      </c>
      <c r="F162">
        <v>16</v>
      </c>
      <c r="G162">
        <v>1630.26</v>
      </c>
      <c r="H162" t="s">
        <v>9</v>
      </c>
      <c r="I162" cm="1">
        <f t="array" ref="I162">_xlfn.IFS(H162="Credit Card",1,H162="PayPal",2,H162="Cash",3,H162="Bank Transfer",4,TRUE,5)</f>
        <v>1</v>
      </c>
    </row>
    <row r="163" spans="1:9" x14ac:dyDescent="0.3">
      <c r="A163">
        <v>109</v>
      </c>
      <c r="B163">
        <v>604</v>
      </c>
      <c r="C163">
        <v>120</v>
      </c>
      <c r="D163">
        <v>2</v>
      </c>
      <c r="E163" s="1">
        <v>45437</v>
      </c>
      <c r="F163">
        <v>12</v>
      </c>
      <c r="G163">
        <v>702.61</v>
      </c>
      <c r="H163" t="s">
        <v>11</v>
      </c>
      <c r="I163" cm="1">
        <f t="array" ref="I163">_xlfn.IFS(H163="Credit Card",1,H163="PayPal",2,H163="Cash",3,H163="Bank Transfer",4,TRUE,5)</f>
        <v>2</v>
      </c>
    </row>
    <row r="164" spans="1:9" x14ac:dyDescent="0.3">
      <c r="A164">
        <v>110</v>
      </c>
      <c r="B164">
        <v>921</v>
      </c>
      <c r="C164">
        <v>947</v>
      </c>
      <c r="D164">
        <v>3</v>
      </c>
      <c r="E164" s="1">
        <v>45562</v>
      </c>
      <c r="F164">
        <v>18</v>
      </c>
      <c r="G164">
        <v>1524.17</v>
      </c>
      <c r="H164" t="s">
        <v>10</v>
      </c>
      <c r="I164" cm="1">
        <f t="array" ref="I164">_xlfn.IFS(H164="Credit Card",1,H164="PayPal",2,H164="Cash",3,H164="Bank Transfer",4,TRUE,5)</f>
        <v>3</v>
      </c>
    </row>
    <row r="165" spans="1:9" x14ac:dyDescent="0.3">
      <c r="A165">
        <v>111</v>
      </c>
      <c r="B165">
        <v>191</v>
      </c>
      <c r="C165">
        <v>303</v>
      </c>
      <c r="D165">
        <v>1</v>
      </c>
      <c r="E165" s="1">
        <v>45538</v>
      </c>
      <c r="F165">
        <v>16</v>
      </c>
      <c r="G165">
        <v>1111.3699999999999</v>
      </c>
      <c r="H165" t="s">
        <v>9</v>
      </c>
      <c r="I165" cm="1">
        <f t="array" ref="I165">_xlfn.IFS(H165="Credit Card",1,H165="PayPal",2,H165="Cash",3,H165="Bank Transfer",4,TRUE,5)</f>
        <v>1</v>
      </c>
    </row>
    <row r="166" spans="1:9" x14ac:dyDescent="0.3">
      <c r="A166">
        <v>112</v>
      </c>
      <c r="B166">
        <v>965</v>
      </c>
      <c r="C166">
        <v>429</v>
      </c>
      <c r="D166">
        <v>4</v>
      </c>
      <c r="E166" s="1">
        <v>45574</v>
      </c>
      <c r="F166">
        <v>2</v>
      </c>
      <c r="G166">
        <v>1299.83</v>
      </c>
      <c r="H166" t="s">
        <v>11</v>
      </c>
      <c r="I166" cm="1">
        <f t="array" ref="I166">_xlfn.IFS(H166="Credit Card",1,H166="PayPal",2,H166="Cash",3,H166="Bank Transfer",4,TRUE,5)</f>
        <v>2</v>
      </c>
    </row>
    <row r="167" spans="1:9" x14ac:dyDescent="0.3">
      <c r="A167">
        <v>113</v>
      </c>
      <c r="B167">
        <v>474</v>
      </c>
      <c r="C167">
        <v>340</v>
      </c>
      <c r="D167">
        <v>1</v>
      </c>
      <c r="E167" s="1">
        <v>45570</v>
      </c>
      <c r="F167">
        <v>5</v>
      </c>
      <c r="G167">
        <v>888.07</v>
      </c>
      <c r="H167" t="s">
        <v>9</v>
      </c>
      <c r="I167" cm="1">
        <f t="array" ref="I167">_xlfn.IFS(H167="Credit Card",1,H167="PayPal",2,H167="Cash",3,H167="Bank Transfer",4,TRUE,5)</f>
        <v>1</v>
      </c>
    </row>
    <row r="168" spans="1:9" x14ac:dyDescent="0.3">
      <c r="A168">
        <v>114</v>
      </c>
      <c r="B168">
        <v>143</v>
      </c>
      <c r="C168">
        <v>537</v>
      </c>
      <c r="D168">
        <v>3</v>
      </c>
      <c r="E168" s="1">
        <v>45492</v>
      </c>
      <c r="F168">
        <v>2</v>
      </c>
      <c r="G168">
        <v>638.24</v>
      </c>
      <c r="H168" t="s">
        <v>10</v>
      </c>
      <c r="I168" cm="1">
        <f t="array" ref="I168">_xlfn.IFS(H168="Credit Card",1,H168="PayPal",2,H168="Cash",3,H168="Bank Transfer",4,TRUE,5)</f>
        <v>3</v>
      </c>
    </row>
    <row r="169" spans="1:9" x14ac:dyDescent="0.3">
      <c r="A169">
        <v>115</v>
      </c>
      <c r="B169">
        <v>574</v>
      </c>
      <c r="C169">
        <v>818</v>
      </c>
      <c r="D169">
        <v>3</v>
      </c>
      <c r="E169" s="1">
        <v>45471</v>
      </c>
      <c r="F169">
        <v>2</v>
      </c>
      <c r="G169">
        <v>120.55</v>
      </c>
      <c r="H169" t="s">
        <v>11</v>
      </c>
      <c r="I169" cm="1">
        <f t="array" ref="I169">_xlfn.IFS(H169="Credit Card",1,H169="PayPal",2,H169="Cash",3,H169="Bank Transfer",4,TRUE,5)</f>
        <v>2</v>
      </c>
    </row>
    <row r="170" spans="1:9" x14ac:dyDescent="0.3">
      <c r="A170">
        <v>116</v>
      </c>
      <c r="B170">
        <v>344</v>
      </c>
      <c r="C170">
        <v>998</v>
      </c>
      <c r="D170">
        <v>4</v>
      </c>
      <c r="E170" s="1">
        <v>45497</v>
      </c>
      <c r="F170">
        <v>6</v>
      </c>
      <c r="G170">
        <v>1252.76</v>
      </c>
      <c r="H170" t="s">
        <v>10</v>
      </c>
      <c r="I170" cm="1">
        <f t="array" ref="I170">_xlfn.IFS(H170="Credit Card",1,H170="PayPal",2,H170="Cash",3,H170="Bank Transfer",4,TRUE,5)</f>
        <v>3</v>
      </c>
    </row>
    <row r="171" spans="1:9" x14ac:dyDescent="0.3">
      <c r="A171">
        <v>117</v>
      </c>
      <c r="B171">
        <v>634</v>
      </c>
      <c r="C171">
        <v>831</v>
      </c>
      <c r="D171">
        <v>4</v>
      </c>
      <c r="E171" s="1">
        <v>45471</v>
      </c>
      <c r="F171">
        <v>9</v>
      </c>
      <c r="G171">
        <v>845.56</v>
      </c>
      <c r="H171" t="s">
        <v>11</v>
      </c>
      <c r="I171" cm="1">
        <f t="array" ref="I171">_xlfn.IFS(H171="Credit Card",1,H171="PayPal",2,H171="Cash",3,H171="Bank Transfer",4,TRUE,5)</f>
        <v>2</v>
      </c>
    </row>
    <row r="172" spans="1:9" x14ac:dyDescent="0.3">
      <c r="A172">
        <v>119</v>
      </c>
      <c r="B172">
        <v>329</v>
      </c>
      <c r="C172">
        <v>209</v>
      </c>
      <c r="D172">
        <v>3</v>
      </c>
      <c r="E172" s="1">
        <v>45424</v>
      </c>
      <c r="F172">
        <v>20</v>
      </c>
      <c r="G172">
        <v>91.3</v>
      </c>
      <c r="H172" t="s">
        <v>8</v>
      </c>
      <c r="I172" cm="1">
        <f t="array" ref="I172">_xlfn.IFS(H172="Credit Card",1,H172="PayPal",2,H172="Cash",3,H172="Bank Transfer",4,TRUE,5)</f>
        <v>4</v>
      </c>
    </row>
    <row r="173" spans="1:9" x14ac:dyDescent="0.3">
      <c r="A173">
        <v>120</v>
      </c>
      <c r="B173">
        <v>712</v>
      </c>
      <c r="C173">
        <v>157</v>
      </c>
      <c r="D173">
        <v>5</v>
      </c>
      <c r="E173" s="1">
        <v>45534</v>
      </c>
      <c r="F173">
        <v>10</v>
      </c>
      <c r="G173">
        <v>1928.16</v>
      </c>
      <c r="H173" t="s">
        <v>9</v>
      </c>
      <c r="I173" cm="1">
        <f t="array" ref="I173">_xlfn.IFS(H173="Credit Card",1,H173="PayPal",2,H173="Cash",3,H173="Bank Transfer",4,TRUE,5)</f>
        <v>1</v>
      </c>
    </row>
    <row r="174" spans="1:9" x14ac:dyDescent="0.3">
      <c r="A174">
        <v>121</v>
      </c>
      <c r="B174">
        <v>901</v>
      </c>
      <c r="C174">
        <v>233</v>
      </c>
      <c r="D174">
        <v>5</v>
      </c>
      <c r="E174" s="1">
        <v>45360</v>
      </c>
      <c r="F174">
        <v>16</v>
      </c>
      <c r="G174">
        <v>679.92</v>
      </c>
      <c r="H174" t="s">
        <v>9</v>
      </c>
      <c r="I174" cm="1">
        <f t="array" ref="I174">_xlfn.IFS(H174="Credit Card",1,H174="PayPal",2,H174="Cash",3,H174="Bank Transfer",4,TRUE,5)</f>
        <v>1</v>
      </c>
    </row>
    <row r="175" spans="1:9" x14ac:dyDescent="0.3">
      <c r="A175">
        <v>122</v>
      </c>
      <c r="B175">
        <v>631</v>
      </c>
      <c r="C175">
        <v>283</v>
      </c>
      <c r="D175">
        <v>5</v>
      </c>
      <c r="E175" s="1">
        <v>45401</v>
      </c>
      <c r="F175">
        <v>19</v>
      </c>
      <c r="G175">
        <v>1716.24</v>
      </c>
      <c r="H175" t="s">
        <v>9</v>
      </c>
      <c r="I175" cm="1">
        <f t="array" ref="I175">_xlfn.IFS(H175="Credit Card",1,H175="PayPal",2,H175="Cash",3,H175="Bank Transfer",4,TRUE,5)</f>
        <v>1</v>
      </c>
    </row>
    <row r="176" spans="1:9" x14ac:dyDescent="0.3">
      <c r="A176">
        <v>123</v>
      </c>
      <c r="B176">
        <v>568</v>
      </c>
      <c r="C176">
        <v>504</v>
      </c>
      <c r="D176">
        <v>5</v>
      </c>
      <c r="E176" s="1">
        <v>45509</v>
      </c>
      <c r="F176">
        <v>19</v>
      </c>
      <c r="G176">
        <v>1662.14</v>
      </c>
      <c r="H176" t="s">
        <v>11</v>
      </c>
      <c r="I176" cm="1">
        <f t="array" ref="I176">_xlfn.IFS(H176="Credit Card",1,H176="PayPal",2,H176="Cash",3,H176="Bank Transfer",4,TRUE,5)</f>
        <v>2</v>
      </c>
    </row>
    <row r="177" spans="1:9" x14ac:dyDescent="0.3">
      <c r="A177">
        <v>124</v>
      </c>
      <c r="B177">
        <v>834</v>
      </c>
      <c r="C177">
        <v>989</v>
      </c>
      <c r="D177">
        <v>1</v>
      </c>
      <c r="E177" s="1">
        <v>45575</v>
      </c>
      <c r="F177">
        <v>9</v>
      </c>
      <c r="G177">
        <v>1970.87</v>
      </c>
      <c r="H177" t="s">
        <v>11</v>
      </c>
      <c r="I177" cm="1">
        <f t="array" ref="I177">_xlfn.IFS(H177="Credit Card",1,H177="PayPal",2,H177="Cash",3,H177="Bank Transfer",4,TRUE,5)</f>
        <v>2</v>
      </c>
    </row>
    <row r="178" spans="1:9" x14ac:dyDescent="0.3">
      <c r="A178">
        <v>125</v>
      </c>
      <c r="B178">
        <v>620</v>
      </c>
      <c r="C178">
        <v>614</v>
      </c>
      <c r="D178">
        <v>4</v>
      </c>
      <c r="E178" s="1">
        <v>45531</v>
      </c>
      <c r="F178">
        <v>1</v>
      </c>
      <c r="G178">
        <v>1201.77</v>
      </c>
      <c r="H178" t="s">
        <v>9</v>
      </c>
      <c r="I178" cm="1">
        <f t="array" ref="I178">_xlfn.IFS(H178="Credit Card",1,H178="PayPal",2,H178="Cash",3,H178="Bank Transfer",4,TRUE,5)</f>
        <v>1</v>
      </c>
    </row>
    <row r="179" spans="1:9" x14ac:dyDescent="0.3">
      <c r="A179">
        <v>126</v>
      </c>
      <c r="B179">
        <v>818</v>
      </c>
      <c r="C179">
        <v>579</v>
      </c>
      <c r="D179">
        <v>3</v>
      </c>
      <c r="E179" s="1">
        <v>45396</v>
      </c>
      <c r="F179">
        <v>5</v>
      </c>
      <c r="G179">
        <v>1356.53</v>
      </c>
      <c r="H179" t="s">
        <v>9</v>
      </c>
      <c r="I179" cm="1">
        <f t="array" ref="I179">_xlfn.IFS(H179="Credit Card",1,H179="PayPal",2,H179="Cash",3,H179="Bank Transfer",4,TRUE,5)</f>
        <v>1</v>
      </c>
    </row>
    <row r="180" spans="1:9" x14ac:dyDescent="0.3">
      <c r="A180">
        <v>127</v>
      </c>
      <c r="B180">
        <v>156</v>
      </c>
      <c r="C180">
        <v>258</v>
      </c>
      <c r="D180">
        <v>5</v>
      </c>
      <c r="E180" s="1">
        <v>45442</v>
      </c>
      <c r="F180">
        <v>8</v>
      </c>
      <c r="G180">
        <v>520.41999999999996</v>
      </c>
      <c r="H180" t="s">
        <v>10</v>
      </c>
      <c r="I180" cm="1">
        <f t="array" ref="I180">_xlfn.IFS(H180="Credit Card",1,H180="PayPal",2,H180="Cash",3,H180="Bank Transfer",4,TRUE,5)</f>
        <v>3</v>
      </c>
    </row>
    <row r="181" spans="1:9" x14ac:dyDescent="0.3">
      <c r="A181">
        <v>128</v>
      </c>
      <c r="B181">
        <v>51</v>
      </c>
      <c r="C181">
        <v>374</v>
      </c>
      <c r="D181">
        <v>4</v>
      </c>
      <c r="E181" s="1">
        <v>45382</v>
      </c>
      <c r="F181">
        <v>18</v>
      </c>
      <c r="G181">
        <v>312</v>
      </c>
      <c r="H181" t="s">
        <v>11</v>
      </c>
      <c r="I181" cm="1">
        <f t="array" ref="I181">_xlfn.IFS(H181="Credit Card",1,H181="PayPal",2,H181="Cash",3,H181="Bank Transfer",4,TRUE,5)</f>
        <v>2</v>
      </c>
    </row>
    <row r="182" spans="1:9" x14ac:dyDescent="0.3">
      <c r="A182">
        <v>129</v>
      </c>
      <c r="B182">
        <v>377</v>
      </c>
      <c r="C182">
        <v>568</v>
      </c>
      <c r="D182">
        <v>3</v>
      </c>
      <c r="E182" s="1">
        <v>45488</v>
      </c>
      <c r="F182">
        <v>5</v>
      </c>
      <c r="G182">
        <v>1081.8800000000001</v>
      </c>
      <c r="H182" t="s">
        <v>11</v>
      </c>
      <c r="I182" cm="1">
        <f t="array" ref="I182">_xlfn.IFS(H182="Credit Card",1,H182="PayPal",2,H182="Cash",3,H182="Bank Transfer",4,TRUE,5)</f>
        <v>2</v>
      </c>
    </row>
    <row r="183" spans="1:9" x14ac:dyDescent="0.3">
      <c r="A183">
        <v>130</v>
      </c>
      <c r="B183">
        <v>304</v>
      </c>
      <c r="C183">
        <v>929</v>
      </c>
      <c r="D183">
        <v>4</v>
      </c>
      <c r="E183" s="1">
        <v>45313</v>
      </c>
      <c r="F183">
        <v>9</v>
      </c>
      <c r="G183">
        <v>1888.54</v>
      </c>
      <c r="H183" t="s">
        <v>8</v>
      </c>
      <c r="I183" cm="1">
        <f t="array" ref="I183">_xlfn.IFS(H183="Credit Card",1,H183="PayPal",2,H183="Cash",3,H183="Bank Transfer",4,TRUE,5)</f>
        <v>4</v>
      </c>
    </row>
    <row r="184" spans="1:9" x14ac:dyDescent="0.3">
      <c r="A184">
        <v>131</v>
      </c>
      <c r="B184">
        <v>293</v>
      </c>
      <c r="C184">
        <v>361</v>
      </c>
      <c r="D184">
        <v>4</v>
      </c>
      <c r="E184" s="1">
        <v>45595</v>
      </c>
      <c r="F184">
        <v>9</v>
      </c>
      <c r="G184">
        <v>694.87</v>
      </c>
      <c r="H184" t="s">
        <v>8</v>
      </c>
      <c r="I184" cm="1">
        <f t="array" ref="I184">_xlfn.IFS(H184="Credit Card",1,H184="PayPal",2,H184="Cash",3,H184="Bank Transfer",4,TRUE,5)</f>
        <v>4</v>
      </c>
    </row>
    <row r="185" spans="1:9" x14ac:dyDescent="0.3">
      <c r="A185">
        <v>132</v>
      </c>
      <c r="B185">
        <v>895</v>
      </c>
      <c r="C185">
        <v>785</v>
      </c>
      <c r="D185">
        <v>1</v>
      </c>
      <c r="E185" s="1">
        <v>45571</v>
      </c>
      <c r="F185">
        <v>18</v>
      </c>
      <c r="G185">
        <v>791.67</v>
      </c>
      <c r="H185" t="s">
        <v>8</v>
      </c>
      <c r="I185" cm="1">
        <f t="array" ref="I185">_xlfn.IFS(H185="Credit Card",1,H185="PayPal",2,H185="Cash",3,H185="Bank Transfer",4,TRUE,5)</f>
        <v>4</v>
      </c>
    </row>
    <row r="186" spans="1:9" x14ac:dyDescent="0.3">
      <c r="A186">
        <v>133</v>
      </c>
      <c r="B186">
        <v>612</v>
      </c>
      <c r="C186">
        <v>727</v>
      </c>
      <c r="D186">
        <v>2</v>
      </c>
      <c r="E186" s="1">
        <v>45528</v>
      </c>
      <c r="F186">
        <v>20</v>
      </c>
      <c r="G186">
        <v>1511.68</v>
      </c>
      <c r="H186" t="s">
        <v>9</v>
      </c>
      <c r="I186" cm="1">
        <f t="array" ref="I186">_xlfn.IFS(H186="Credit Card",1,H186="PayPal",2,H186="Cash",3,H186="Bank Transfer",4,TRUE,5)</f>
        <v>1</v>
      </c>
    </row>
    <row r="187" spans="1:9" x14ac:dyDescent="0.3">
      <c r="A187">
        <v>134</v>
      </c>
      <c r="B187">
        <v>881</v>
      </c>
      <c r="C187">
        <v>890</v>
      </c>
      <c r="D187">
        <v>2</v>
      </c>
      <c r="E187" s="1">
        <v>45416</v>
      </c>
      <c r="F187">
        <v>17</v>
      </c>
      <c r="G187">
        <v>777.69</v>
      </c>
      <c r="H187" t="s">
        <v>11</v>
      </c>
      <c r="I187" cm="1">
        <f t="array" ref="I187">_xlfn.IFS(H187="Credit Card",1,H187="PayPal",2,H187="Cash",3,H187="Bank Transfer",4,TRUE,5)</f>
        <v>2</v>
      </c>
    </row>
    <row r="188" spans="1:9" x14ac:dyDescent="0.3">
      <c r="A188">
        <v>135</v>
      </c>
      <c r="B188">
        <v>289</v>
      </c>
      <c r="C188">
        <v>97</v>
      </c>
      <c r="D188">
        <v>5</v>
      </c>
      <c r="E188" s="1">
        <v>45505</v>
      </c>
      <c r="F188">
        <v>3</v>
      </c>
      <c r="G188">
        <v>818.31</v>
      </c>
      <c r="H188" t="s">
        <v>9</v>
      </c>
      <c r="I188" cm="1">
        <f t="array" ref="I188">_xlfn.IFS(H188="Credit Card",1,H188="PayPal",2,H188="Cash",3,H188="Bank Transfer",4,TRUE,5)</f>
        <v>1</v>
      </c>
    </row>
    <row r="189" spans="1:9" x14ac:dyDescent="0.3">
      <c r="A189">
        <v>136</v>
      </c>
      <c r="B189">
        <v>307</v>
      </c>
      <c r="C189">
        <v>358</v>
      </c>
      <c r="D189">
        <v>1</v>
      </c>
      <c r="E189" s="1">
        <v>45345</v>
      </c>
      <c r="F189">
        <v>6</v>
      </c>
      <c r="G189">
        <v>92.23</v>
      </c>
      <c r="H189" t="s">
        <v>9</v>
      </c>
      <c r="I189" cm="1">
        <f t="array" ref="I189">_xlfn.IFS(H189="Credit Card",1,H189="PayPal",2,H189="Cash",3,H189="Bank Transfer",4,TRUE,5)</f>
        <v>1</v>
      </c>
    </row>
    <row r="190" spans="1:9" x14ac:dyDescent="0.3">
      <c r="A190">
        <v>138</v>
      </c>
      <c r="B190">
        <v>384</v>
      </c>
      <c r="C190">
        <v>681</v>
      </c>
      <c r="D190">
        <v>5</v>
      </c>
      <c r="E190" s="1">
        <v>45425</v>
      </c>
      <c r="F190">
        <v>4</v>
      </c>
      <c r="G190">
        <v>805.13</v>
      </c>
      <c r="H190" t="s">
        <v>11</v>
      </c>
      <c r="I190" cm="1">
        <f t="array" ref="I190">_xlfn.IFS(H190="Credit Card",1,H190="PayPal",2,H190="Cash",3,H190="Bank Transfer",4,TRUE,5)</f>
        <v>2</v>
      </c>
    </row>
    <row r="191" spans="1:9" x14ac:dyDescent="0.3">
      <c r="A191">
        <v>139</v>
      </c>
      <c r="B191">
        <v>876</v>
      </c>
      <c r="C191">
        <v>956</v>
      </c>
      <c r="D191">
        <v>5</v>
      </c>
      <c r="E191" s="1">
        <v>45423</v>
      </c>
      <c r="F191">
        <v>7</v>
      </c>
      <c r="G191">
        <v>119.74</v>
      </c>
      <c r="H191" t="s">
        <v>8</v>
      </c>
      <c r="I191" cm="1">
        <f t="array" ref="I191">_xlfn.IFS(H191="Credit Card",1,H191="PayPal",2,H191="Cash",3,H191="Bank Transfer",4,TRUE,5)</f>
        <v>4</v>
      </c>
    </row>
    <row r="192" spans="1:9" x14ac:dyDescent="0.3">
      <c r="A192">
        <v>140</v>
      </c>
      <c r="B192">
        <v>94</v>
      </c>
      <c r="C192">
        <v>684</v>
      </c>
      <c r="D192">
        <v>4</v>
      </c>
      <c r="E192" s="1">
        <v>45369</v>
      </c>
      <c r="F192">
        <v>12</v>
      </c>
      <c r="G192">
        <v>201.23</v>
      </c>
      <c r="H192" t="s">
        <v>11</v>
      </c>
      <c r="I192" cm="1">
        <f t="array" ref="I192">_xlfn.IFS(H192="Credit Card",1,H192="PayPal",2,H192="Cash",3,H192="Bank Transfer",4,TRUE,5)</f>
        <v>2</v>
      </c>
    </row>
    <row r="193" spans="1:9" x14ac:dyDescent="0.3">
      <c r="A193">
        <v>141</v>
      </c>
      <c r="B193">
        <v>65</v>
      </c>
      <c r="C193">
        <v>720</v>
      </c>
      <c r="D193">
        <v>4</v>
      </c>
      <c r="E193" s="1">
        <v>45491</v>
      </c>
      <c r="F193">
        <v>5</v>
      </c>
      <c r="G193">
        <v>529.37</v>
      </c>
      <c r="H193" t="s">
        <v>8</v>
      </c>
      <c r="I193" cm="1">
        <f t="array" ref="I193">_xlfn.IFS(H193="Credit Card",1,H193="PayPal",2,H193="Cash",3,H193="Bank Transfer",4,TRUE,5)</f>
        <v>4</v>
      </c>
    </row>
    <row r="194" spans="1:9" x14ac:dyDescent="0.3">
      <c r="A194">
        <v>142</v>
      </c>
      <c r="B194">
        <v>455</v>
      </c>
      <c r="C194">
        <v>453</v>
      </c>
      <c r="D194">
        <v>3</v>
      </c>
      <c r="E194" s="1">
        <v>45497</v>
      </c>
      <c r="F194">
        <v>11</v>
      </c>
      <c r="G194">
        <v>1035.3699999999999</v>
      </c>
      <c r="H194" t="s">
        <v>11</v>
      </c>
      <c r="I194" cm="1">
        <f t="array" ref="I194">_xlfn.IFS(H194="Credit Card",1,H194="PayPal",2,H194="Cash",3,H194="Bank Transfer",4,TRUE,5)</f>
        <v>2</v>
      </c>
    </row>
    <row r="195" spans="1:9" x14ac:dyDescent="0.3">
      <c r="A195">
        <v>143</v>
      </c>
      <c r="B195">
        <v>691</v>
      </c>
      <c r="C195">
        <v>210</v>
      </c>
      <c r="D195">
        <v>2</v>
      </c>
      <c r="E195" s="1">
        <v>45304</v>
      </c>
      <c r="F195">
        <v>5</v>
      </c>
      <c r="G195">
        <v>1117.08</v>
      </c>
      <c r="H195" t="s">
        <v>10</v>
      </c>
      <c r="I195" cm="1">
        <f t="array" ref="I195">_xlfn.IFS(H195="Credit Card",1,H195="PayPal",2,H195="Cash",3,H195="Bank Transfer",4,TRUE,5)</f>
        <v>3</v>
      </c>
    </row>
    <row r="196" spans="1:9" x14ac:dyDescent="0.3">
      <c r="A196">
        <v>144</v>
      </c>
      <c r="B196">
        <v>621</v>
      </c>
      <c r="C196">
        <v>124</v>
      </c>
      <c r="D196">
        <v>1</v>
      </c>
      <c r="E196" s="1">
        <v>45517</v>
      </c>
      <c r="F196">
        <v>4</v>
      </c>
      <c r="G196">
        <v>989.33</v>
      </c>
      <c r="H196" t="s">
        <v>11</v>
      </c>
      <c r="I196" cm="1">
        <f t="array" ref="I196">_xlfn.IFS(H196="Credit Card",1,H196="PayPal",2,H196="Cash",3,H196="Bank Transfer",4,TRUE,5)</f>
        <v>2</v>
      </c>
    </row>
    <row r="197" spans="1:9" x14ac:dyDescent="0.3">
      <c r="A197">
        <v>145</v>
      </c>
      <c r="B197">
        <v>874</v>
      </c>
      <c r="C197">
        <v>585</v>
      </c>
      <c r="D197">
        <v>5</v>
      </c>
      <c r="E197" s="1">
        <v>45415</v>
      </c>
      <c r="F197">
        <v>19</v>
      </c>
      <c r="G197">
        <v>1214.44</v>
      </c>
      <c r="H197" t="s">
        <v>9</v>
      </c>
      <c r="I197" cm="1">
        <f t="array" ref="I197">_xlfn.IFS(H197="Credit Card",1,H197="PayPal",2,H197="Cash",3,H197="Bank Transfer",4,TRUE,5)</f>
        <v>1</v>
      </c>
    </row>
    <row r="198" spans="1:9" x14ac:dyDescent="0.3">
      <c r="A198">
        <v>146</v>
      </c>
      <c r="B198">
        <v>525</v>
      </c>
      <c r="C198">
        <v>287</v>
      </c>
      <c r="D198">
        <v>4</v>
      </c>
      <c r="E198" s="1">
        <v>45363</v>
      </c>
      <c r="F198">
        <v>19</v>
      </c>
      <c r="G198">
        <v>381.56</v>
      </c>
      <c r="H198" t="s">
        <v>9</v>
      </c>
      <c r="I198" cm="1">
        <f t="array" ref="I198">_xlfn.IFS(H198="Credit Card",1,H198="PayPal",2,H198="Cash",3,H198="Bank Transfer",4,TRUE,5)</f>
        <v>1</v>
      </c>
    </row>
    <row r="199" spans="1:9" x14ac:dyDescent="0.3">
      <c r="A199">
        <v>147</v>
      </c>
      <c r="B199">
        <v>504</v>
      </c>
      <c r="C199">
        <v>241</v>
      </c>
      <c r="D199">
        <v>1</v>
      </c>
      <c r="E199" s="1">
        <v>45361</v>
      </c>
      <c r="F199">
        <v>16</v>
      </c>
      <c r="G199">
        <v>1108.46</v>
      </c>
      <c r="H199" t="s">
        <v>9</v>
      </c>
      <c r="I199" cm="1">
        <f t="array" ref="I199">_xlfn.IFS(H199="Credit Card",1,H199="PayPal",2,H199="Cash",3,H199="Bank Transfer",4,TRUE,5)</f>
        <v>1</v>
      </c>
    </row>
    <row r="200" spans="1:9" x14ac:dyDescent="0.3">
      <c r="A200">
        <v>148</v>
      </c>
      <c r="B200">
        <v>133</v>
      </c>
      <c r="C200">
        <v>196</v>
      </c>
      <c r="D200">
        <v>4</v>
      </c>
      <c r="E200" s="1">
        <v>45568</v>
      </c>
      <c r="F200">
        <v>5</v>
      </c>
      <c r="G200">
        <v>647.49</v>
      </c>
      <c r="H200" t="s">
        <v>11</v>
      </c>
      <c r="I200" cm="1">
        <f t="array" ref="I200">_xlfn.IFS(H200="Credit Card",1,H200="PayPal",2,H200="Cash",3,H200="Bank Transfer",4,TRUE,5)</f>
        <v>2</v>
      </c>
    </row>
    <row r="201" spans="1:9" x14ac:dyDescent="0.3">
      <c r="A201">
        <v>149</v>
      </c>
      <c r="B201">
        <v>966</v>
      </c>
      <c r="C201">
        <v>696</v>
      </c>
      <c r="D201">
        <v>4</v>
      </c>
      <c r="E201" s="1">
        <v>45326</v>
      </c>
      <c r="F201">
        <v>11</v>
      </c>
      <c r="G201">
        <v>205.65</v>
      </c>
      <c r="H201" t="s">
        <v>8</v>
      </c>
      <c r="I201" cm="1">
        <f t="array" ref="I201">_xlfn.IFS(H201="Credit Card",1,H201="PayPal",2,H201="Cash",3,H201="Bank Transfer",4,TRUE,5)</f>
        <v>4</v>
      </c>
    </row>
    <row r="202" spans="1:9" x14ac:dyDescent="0.3">
      <c r="A202">
        <v>150</v>
      </c>
      <c r="B202">
        <v>689</v>
      </c>
      <c r="C202">
        <v>810</v>
      </c>
      <c r="D202">
        <v>3</v>
      </c>
      <c r="E202" s="1">
        <v>45322</v>
      </c>
      <c r="F202">
        <v>3</v>
      </c>
      <c r="G202">
        <v>1770.49</v>
      </c>
      <c r="H202" t="s">
        <v>11</v>
      </c>
      <c r="I202" cm="1">
        <f t="array" ref="I202">_xlfn.IFS(H202="Credit Card",1,H202="PayPal",2,H202="Cash",3,H202="Bank Transfer",4,TRUE,5)</f>
        <v>2</v>
      </c>
    </row>
    <row r="203" spans="1:9" x14ac:dyDescent="0.3">
      <c r="A203">
        <v>151</v>
      </c>
      <c r="B203">
        <v>583</v>
      </c>
      <c r="C203">
        <v>252</v>
      </c>
      <c r="D203">
        <v>3</v>
      </c>
      <c r="E203" s="1">
        <v>45450</v>
      </c>
      <c r="F203">
        <v>8</v>
      </c>
      <c r="G203">
        <v>1879.51</v>
      </c>
      <c r="H203" t="s">
        <v>8</v>
      </c>
      <c r="I203" cm="1">
        <f t="array" ref="I203">_xlfn.IFS(H203="Credit Card",1,H203="PayPal",2,H203="Cash",3,H203="Bank Transfer",4,TRUE,5)</f>
        <v>4</v>
      </c>
    </row>
    <row r="204" spans="1:9" x14ac:dyDescent="0.3">
      <c r="A204">
        <v>152</v>
      </c>
      <c r="B204">
        <v>582</v>
      </c>
      <c r="C204">
        <v>236</v>
      </c>
      <c r="D204">
        <v>4</v>
      </c>
      <c r="E204" s="1">
        <v>45413</v>
      </c>
      <c r="F204">
        <v>8</v>
      </c>
      <c r="G204">
        <v>106.25</v>
      </c>
      <c r="H204" t="s">
        <v>11</v>
      </c>
      <c r="I204" cm="1">
        <f t="array" ref="I204">_xlfn.IFS(H204="Credit Card",1,H204="PayPal",2,H204="Cash",3,H204="Bank Transfer",4,TRUE,5)</f>
        <v>2</v>
      </c>
    </row>
    <row r="205" spans="1:9" x14ac:dyDescent="0.3">
      <c r="A205">
        <v>153</v>
      </c>
      <c r="B205">
        <v>918</v>
      </c>
      <c r="C205">
        <v>100</v>
      </c>
      <c r="D205">
        <v>5</v>
      </c>
      <c r="E205" s="1">
        <v>45541</v>
      </c>
      <c r="F205">
        <v>16</v>
      </c>
      <c r="G205">
        <v>974.75</v>
      </c>
      <c r="H205" t="s">
        <v>8</v>
      </c>
      <c r="I205" cm="1">
        <f t="array" ref="I205">_xlfn.IFS(H205="Credit Card",1,H205="PayPal",2,H205="Cash",3,H205="Bank Transfer",4,TRUE,5)</f>
        <v>4</v>
      </c>
    </row>
    <row r="206" spans="1:9" x14ac:dyDescent="0.3">
      <c r="A206">
        <v>154</v>
      </c>
      <c r="B206">
        <v>264</v>
      </c>
      <c r="C206">
        <v>63</v>
      </c>
      <c r="D206">
        <v>5</v>
      </c>
      <c r="E206" s="1">
        <v>45541</v>
      </c>
      <c r="F206">
        <v>4</v>
      </c>
      <c r="G206">
        <v>1316.66</v>
      </c>
      <c r="H206" t="s">
        <v>9</v>
      </c>
      <c r="I206" cm="1">
        <f t="array" ref="I206">_xlfn.IFS(H206="Credit Card",1,H206="PayPal",2,H206="Cash",3,H206="Bank Transfer",4,TRUE,5)</f>
        <v>1</v>
      </c>
    </row>
    <row r="207" spans="1:9" x14ac:dyDescent="0.3">
      <c r="A207">
        <v>155</v>
      </c>
      <c r="B207">
        <v>934</v>
      </c>
      <c r="C207">
        <v>49</v>
      </c>
      <c r="D207">
        <v>1</v>
      </c>
      <c r="E207" s="1">
        <v>45397</v>
      </c>
      <c r="F207">
        <v>6</v>
      </c>
      <c r="G207">
        <v>797.11</v>
      </c>
      <c r="H207" t="s">
        <v>9</v>
      </c>
      <c r="I207" cm="1">
        <f t="array" ref="I207">_xlfn.IFS(H207="Credit Card",1,H207="PayPal",2,H207="Cash",3,H207="Bank Transfer",4,TRUE,5)</f>
        <v>1</v>
      </c>
    </row>
    <row r="208" spans="1:9" x14ac:dyDescent="0.3">
      <c r="A208">
        <v>156</v>
      </c>
      <c r="B208">
        <v>876</v>
      </c>
      <c r="C208">
        <v>655</v>
      </c>
      <c r="D208">
        <v>5</v>
      </c>
      <c r="E208" s="1">
        <v>45507</v>
      </c>
      <c r="F208">
        <v>10</v>
      </c>
      <c r="G208">
        <v>1850.54</v>
      </c>
      <c r="H208" t="s">
        <v>11</v>
      </c>
      <c r="I208" cm="1">
        <f t="array" ref="I208">_xlfn.IFS(H208="Credit Card",1,H208="PayPal",2,H208="Cash",3,H208="Bank Transfer",4,TRUE,5)</f>
        <v>2</v>
      </c>
    </row>
    <row r="209" spans="1:9" x14ac:dyDescent="0.3">
      <c r="A209">
        <v>158</v>
      </c>
      <c r="B209">
        <v>522</v>
      </c>
      <c r="C209">
        <v>270</v>
      </c>
      <c r="D209">
        <v>1</v>
      </c>
      <c r="E209" s="1">
        <v>45465</v>
      </c>
      <c r="F209">
        <v>2</v>
      </c>
      <c r="G209">
        <v>1935.45</v>
      </c>
      <c r="H209" t="s">
        <v>10</v>
      </c>
      <c r="I209" cm="1">
        <f t="array" ref="I209">_xlfn.IFS(H209="Credit Card",1,H209="PayPal",2,H209="Cash",3,H209="Bank Transfer",4,TRUE,5)</f>
        <v>3</v>
      </c>
    </row>
    <row r="210" spans="1:9" x14ac:dyDescent="0.3">
      <c r="A210">
        <v>159</v>
      </c>
      <c r="B210">
        <v>783</v>
      </c>
      <c r="C210">
        <v>942</v>
      </c>
      <c r="D210">
        <v>1</v>
      </c>
      <c r="E210" s="1">
        <v>45572</v>
      </c>
      <c r="F210">
        <v>7</v>
      </c>
      <c r="G210">
        <v>418.81</v>
      </c>
      <c r="H210" t="s">
        <v>11</v>
      </c>
      <c r="I210" cm="1">
        <f t="array" ref="I210">_xlfn.IFS(H210="Credit Card",1,H210="PayPal",2,H210="Cash",3,H210="Bank Transfer",4,TRUE,5)</f>
        <v>2</v>
      </c>
    </row>
    <row r="211" spans="1:9" x14ac:dyDescent="0.3">
      <c r="A211">
        <v>160</v>
      </c>
      <c r="B211">
        <v>869</v>
      </c>
      <c r="C211">
        <v>69</v>
      </c>
      <c r="D211">
        <v>1</v>
      </c>
      <c r="E211" s="1">
        <v>45328</v>
      </c>
      <c r="F211">
        <v>6</v>
      </c>
      <c r="G211">
        <v>126.57</v>
      </c>
      <c r="H211" t="s">
        <v>8</v>
      </c>
      <c r="I211" cm="1">
        <f t="array" ref="I211">_xlfn.IFS(H211="Credit Card",1,H211="PayPal",2,H211="Cash",3,H211="Bank Transfer",4,TRUE,5)</f>
        <v>4</v>
      </c>
    </row>
    <row r="212" spans="1:9" x14ac:dyDescent="0.3">
      <c r="A212">
        <v>161</v>
      </c>
      <c r="B212">
        <v>563</v>
      </c>
      <c r="C212">
        <v>572</v>
      </c>
      <c r="D212">
        <v>3</v>
      </c>
      <c r="E212" s="1">
        <v>45508</v>
      </c>
      <c r="F212">
        <v>15</v>
      </c>
      <c r="G212">
        <v>490.3</v>
      </c>
      <c r="H212" t="s">
        <v>8</v>
      </c>
      <c r="I212" cm="1">
        <f t="array" ref="I212">_xlfn.IFS(H212="Credit Card",1,H212="PayPal",2,H212="Cash",3,H212="Bank Transfer",4,TRUE,5)</f>
        <v>4</v>
      </c>
    </row>
    <row r="213" spans="1:9" x14ac:dyDescent="0.3">
      <c r="A213">
        <v>162</v>
      </c>
      <c r="B213">
        <v>359</v>
      </c>
      <c r="C213">
        <v>49</v>
      </c>
      <c r="D213">
        <v>2</v>
      </c>
      <c r="E213" s="1">
        <v>45302</v>
      </c>
      <c r="F213">
        <v>9</v>
      </c>
      <c r="G213">
        <v>183.45</v>
      </c>
      <c r="H213" t="s">
        <v>8</v>
      </c>
      <c r="I213" cm="1">
        <f t="array" ref="I213">_xlfn.IFS(H213="Credit Card",1,H213="PayPal",2,H213="Cash",3,H213="Bank Transfer",4,TRUE,5)</f>
        <v>4</v>
      </c>
    </row>
    <row r="214" spans="1:9" x14ac:dyDescent="0.3">
      <c r="A214">
        <v>163</v>
      </c>
      <c r="B214">
        <v>230</v>
      </c>
      <c r="C214">
        <v>988</v>
      </c>
      <c r="D214">
        <v>2</v>
      </c>
      <c r="E214" s="1">
        <v>45527</v>
      </c>
      <c r="F214">
        <v>8</v>
      </c>
      <c r="G214">
        <v>836.96</v>
      </c>
      <c r="H214" t="s">
        <v>9</v>
      </c>
      <c r="I214" cm="1">
        <f t="array" ref="I214">_xlfn.IFS(H214="Credit Card",1,H214="PayPal",2,H214="Cash",3,H214="Bank Transfer",4,TRUE,5)</f>
        <v>1</v>
      </c>
    </row>
    <row r="215" spans="1:9" x14ac:dyDescent="0.3">
      <c r="A215">
        <v>164</v>
      </c>
      <c r="B215">
        <v>164</v>
      </c>
      <c r="C215">
        <v>157</v>
      </c>
      <c r="D215">
        <v>5</v>
      </c>
      <c r="E215" s="1">
        <v>45472</v>
      </c>
      <c r="F215">
        <v>16</v>
      </c>
      <c r="G215">
        <v>1721.15</v>
      </c>
      <c r="H215" t="s">
        <v>11</v>
      </c>
      <c r="I215" cm="1">
        <f t="array" ref="I215">_xlfn.IFS(H215="Credit Card",1,H215="PayPal",2,H215="Cash",3,H215="Bank Transfer",4,TRUE,5)</f>
        <v>2</v>
      </c>
    </row>
    <row r="216" spans="1:9" x14ac:dyDescent="0.3">
      <c r="A216">
        <v>165</v>
      </c>
      <c r="B216">
        <v>2</v>
      </c>
      <c r="C216">
        <v>350</v>
      </c>
      <c r="D216">
        <v>2</v>
      </c>
      <c r="E216" s="1">
        <v>45301</v>
      </c>
      <c r="F216">
        <v>7</v>
      </c>
      <c r="G216">
        <v>1598.37</v>
      </c>
      <c r="H216" t="s">
        <v>11</v>
      </c>
      <c r="I216" cm="1">
        <f t="array" ref="I216">_xlfn.IFS(H216="Credit Card",1,H216="PayPal",2,H216="Cash",3,H216="Bank Transfer",4,TRUE,5)</f>
        <v>2</v>
      </c>
    </row>
    <row r="217" spans="1:9" x14ac:dyDescent="0.3">
      <c r="A217">
        <v>166</v>
      </c>
      <c r="B217">
        <v>310</v>
      </c>
      <c r="C217">
        <v>904</v>
      </c>
      <c r="D217">
        <v>2</v>
      </c>
      <c r="E217" s="1">
        <v>45484</v>
      </c>
      <c r="F217">
        <v>5</v>
      </c>
      <c r="G217">
        <v>923.19</v>
      </c>
      <c r="H217" t="s">
        <v>11</v>
      </c>
      <c r="I217" cm="1">
        <f t="array" ref="I217">_xlfn.IFS(H217="Credit Card",1,H217="PayPal",2,H217="Cash",3,H217="Bank Transfer",4,TRUE,5)</f>
        <v>2</v>
      </c>
    </row>
    <row r="218" spans="1:9" x14ac:dyDescent="0.3">
      <c r="A218">
        <v>167</v>
      </c>
      <c r="B218">
        <v>273</v>
      </c>
      <c r="C218">
        <v>355</v>
      </c>
      <c r="D218">
        <v>5</v>
      </c>
      <c r="E218" s="1">
        <v>45529</v>
      </c>
      <c r="F218">
        <v>8</v>
      </c>
      <c r="G218">
        <v>1679.19</v>
      </c>
      <c r="H218" t="s">
        <v>10</v>
      </c>
      <c r="I218" cm="1">
        <f t="array" ref="I218">_xlfn.IFS(H218="Credit Card",1,H218="PayPal",2,H218="Cash",3,H218="Bank Transfer",4,TRUE,5)</f>
        <v>3</v>
      </c>
    </row>
    <row r="219" spans="1:9" x14ac:dyDescent="0.3">
      <c r="A219">
        <v>168</v>
      </c>
      <c r="B219">
        <v>687</v>
      </c>
      <c r="C219">
        <v>699</v>
      </c>
      <c r="D219">
        <v>3</v>
      </c>
      <c r="E219" s="1">
        <v>45512</v>
      </c>
      <c r="F219">
        <v>6</v>
      </c>
      <c r="G219">
        <v>1345.08</v>
      </c>
      <c r="H219" t="s">
        <v>8</v>
      </c>
      <c r="I219" cm="1">
        <f t="array" ref="I219">_xlfn.IFS(H219="Credit Card",1,H219="PayPal",2,H219="Cash",3,H219="Bank Transfer",4,TRUE,5)</f>
        <v>4</v>
      </c>
    </row>
    <row r="220" spans="1:9" x14ac:dyDescent="0.3">
      <c r="A220">
        <v>169</v>
      </c>
      <c r="B220">
        <v>796</v>
      </c>
      <c r="C220">
        <v>149</v>
      </c>
      <c r="D220">
        <v>1</v>
      </c>
      <c r="E220" s="1">
        <v>45543</v>
      </c>
      <c r="F220">
        <v>6</v>
      </c>
      <c r="G220">
        <v>585.04</v>
      </c>
      <c r="H220" t="s">
        <v>9</v>
      </c>
      <c r="I220" cm="1">
        <f t="array" ref="I220">_xlfn.IFS(H220="Credit Card",1,H220="PayPal",2,H220="Cash",3,H220="Bank Transfer",4,TRUE,5)</f>
        <v>1</v>
      </c>
    </row>
    <row r="221" spans="1:9" x14ac:dyDescent="0.3">
      <c r="A221">
        <v>170</v>
      </c>
      <c r="B221">
        <v>397</v>
      </c>
      <c r="C221">
        <v>113</v>
      </c>
      <c r="D221">
        <v>1</v>
      </c>
      <c r="E221" s="1">
        <v>45497</v>
      </c>
      <c r="F221">
        <v>4</v>
      </c>
      <c r="G221">
        <v>1572.77</v>
      </c>
      <c r="H221" t="s">
        <v>9</v>
      </c>
      <c r="I221" cm="1">
        <f t="array" ref="I221">_xlfn.IFS(H221="Credit Card",1,H221="PayPal",2,H221="Cash",3,H221="Bank Transfer",4,TRUE,5)</f>
        <v>1</v>
      </c>
    </row>
    <row r="222" spans="1:9" x14ac:dyDescent="0.3">
      <c r="A222">
        <v>171</v>
      </c>
      <c r="B222">
        <v>835</v>
      </c>
      <c r="C222">
        <v>659</v>
      </c>
      <c r="D222">
        <v>1</v>
      </c>
      <c r="E222" s="1">
        <v>45386</v>
      </c>
      <c r="F222">
        <v>6</v>
      </c>
      <c r="G222">
        <v>244.86</v>
      </c>
      <c r="H222" t="s">
        <v>11</v>
      </c>
      <c r="I222" cm="1">
        <f t="array" ref="I222">_xlfn.IFS(H222="Credit Card",1,H222="PayPal",2,H222="Cash",3,H222="Bank Transfer",4,TRUE,5)</f>
        <v>2</v>
      </c>
    </row>
    <row r="223" spans="1:9" x14ac:dyDescent="0.3">
      <c r="A223">
        <v>172</v>
      </c>
      <c r="B223">
        <v>921</v>
      </c>
      <c r="C223">
        <v>477</v>
      </c>
      <c r="D223">
        <v>1</v>
      </c>
      <c r="E223" s="1">
        <v>45352</v>
      </c>
      <c r="F223">
        <v>2</v>
      </c>
      <c r="G223">
        <v>211.23</v>
      </c>
      <c r="H223" t="s">
        <v>10</v>
      </c>
      <c r="I223" cm="1">
        <f t="array" ref="I223">_xlfn.IFS(H223="Credit Card",1,H223="PayPal",2,H223="Cash",3,H223="Bank Transfer",4,TRUE,5)</f>
        <v>3</v>
      </c>
    </row>
    <row r="224" spans="1:9" x14ac:dyDescent="0.3">
      <c r="A224">
        <v>173</v>
      </c>
      <c r="B224">
        <v>934</v>
      </c>
      <c r="C224">
        <v>11</v>
      </c>
      <c r="D224">
        <v>1</v>
      </c>
      <c r="E224" s="1">
        <v>45320</v>
      </c>
      <c r="F224">
        <v>6</v>
      </c>
      <c r="G224">
        <v>1238.6400000000001</v>
      </c>
      <c r="H224" t="s">
        <v>9</v>
      </c>
      <c r="I224" cm="1">
        <f t="array" ref="I224">_xlfn.IFS(H224="Credit Card",1,H224="PayPal",2,H224="Cash",3,H224="Bank Transfer",4,TRUE,5)</f>
        <v>1</v>
      </c>
    </row>
    <row r="225" spans="1:9" x14ac:dyDescent="0.3">
      <c r="A225">
        <v>174</v>
      </c>
      <c r="B225">
        <v>823</v>
      </c>
      <c r="C225">
        <v>930</v>
      </c>
      <c r="D225">
        <v>4</v>
      </c>
      <c r="E225" s="1">
        <v>45585</v>
      </c>
      <c r="F225">
        <v>14</v>
      </c>
      <c r="G225">
        <v>507.34</v>
      </c>
      <c r="H225" t="s">
        <v>10</v>
      </c>
      <c r="I225" cm="1">
        <f t="array" ref="I225">_xlfn.IFS(H225="Credit Card",1,H225="PayPal",2,H225="Cash",3,H225="Bank Transfer",4,TRUE,5)</f>
        <v>3</v>
      </c>
    </row>
    <row r="226" spans="1:9" x14ac:dyDescent="0.3">
      <c r="A226">
        <v>175</v>
      </c>
      <c r="B226">
        <v>58</v>
      </c>
      <c r="C226">
        <v>144</v>
      </c>
      <c r="D226">
        <v>5</v>
      </c>
      <c r="E226" s="1">
        <v>45455</v>
      </c>
      <c r="F226">
        <v>15</v>
      </c>
      <c r="G226">
        <v>829.47</v>
      </c>
      <c r="H226" t="s">
        <v>11</v>
      </c>
      <c r="I226" cm="1">
        <f t="array" ref="I226">_xlfn.IFS(H226="Credit Card",1,H226="PayPal",2,H226="Cash",3,H226="Bank Transfer",4,TRUE,5)</f>
        <v>2</v>
      </c>
    </row>
    <row r="227" spans="1:9" x14ac:dyDescent="0.3">
      <c r="A227">
        <v>176</v>
      </c>
      <c r="B227">
        <v>111</v>
      </c>
      <c r="C227">
        <v>961</v>
      </c>
      <c r="D227">
        <v>1</v>
      </c>
      <c r="E227" s="1">
        <v>45387</v>
      </c>
      <c r="F227">
        <v>4</v>
      </c>
      <c r="G227">
        <v>1628.31</v>
      </c>
      <c r="H227" t="s">
        <v>8</v>
      </c>
      <c r="I227" cm="1">
        <f t="array" ref="I227">_xlfn.IFS(H227="Credit Card",1,H227="PayPal",2,H227="Cash",3,H227="Bank Transfer",4,TRUE,5)</f>
        <v>4</v>
      </c>
    </row>
    <row r="228" spans="1:9" x14ac:dyDescent="0.3">
      <c r="A228">
        <v>177</v>
      </c>
      <c r="B228">
        <v>919</v>
      </c>
      <c r="C228">
        <v>793</v>
      </c>
      <c r="D228">
        <v>4</v>
      </c>
      <c r="E228" s="1">
        <v>45614</v>
      </c>
      <c r="F228">
        <v>10</v>
      </c>
      <c r="G228">
        <v>1020.58</v>
      </c>
      <c r="H228" t="s">
        <v>10</v>
      </c>
      <c r="I228" cm="1">
        <f t="array" ref="I228">_xlfn.IFS(H228="Credit Card",1,H228="PayPal",2,H228="Cash",3,H228="Bank Transfer",4,TRUE,5)</f>
        <v>3</v>
      </c>
    </row>
    <row r="229" spans="1:9" x14ac:dyDescent="0.3">
      <c r="A229">
        <v>178</v>
      </c>
      <c r="B229">
        <v>864</v>
      </c>
      <c r="C229">
        <v>801</v>
      </c>
      <c r="D229">
        <v>2</v>
      </c>
      <c r="E229" s="1">
        <v>45449</v>
      </c>
      <c r="F229">
        <v>20</v>
      </c>
      <c r="G229">
        <v>1253.6300000000001</v>
      </c>
      <c r="H229" t="s">
        <v>10</v>
      </c>
      <c r="I229" cm="1">
        <f t="array" ref="I229">_xlfn.IFS(H229="Credit Card",1,H229="PayPal",2,H229="Cash",3,H229="Bank Transfer",4,TRUE,5)</f>
        <v>3</v>
      </c>
    </row>
    <row r="230" spans="1:9" x14ac:dyDescent="0.3">
      <c r="A230">
        <v>179</v>
      </c>
      <c r="B230">
        <v>814</v>
      </c>
      <c r="C230">
        <v>984</v>
      </c>
      <c r="D230">
        <v>3</v>
      </c>
      <c r="E230" s="1">
        <v>45383</v>
      </c>
      <c r="F230">
        <v>8</v>
      </c>
      <c r="G230">
        <v>67.569999999999993</v>
      </c>
      <c r="H230" t="s">
        <v>8</v>
      </c>
      <c r="I230" cm="1">
        <f t="array" ref="I230">_xlfn.IFS(H230="Credit Card",1,H230="PayPal",2,H230="Cash",3,H230="Bank Transfer",4,TRUE,5)</f>
        <v>4</v>
      </c>
    </row>
    <row r="231" spans="1:9" x14ac:dyDescent="0.3">
      <c r="A231">
        <v>180</v>
      </c>
      <c r="B231">
        <v>601</v>
      </c>
      <c r="C231">
        <v>547</v>
      </c>
      <c r="D231">
        <v>5</v>
      </c>
      <c r="E231" s="1">
        <v>45615</v>
      </c>
      <c r="F231">
        <v>7</v>
      </c>
      <c r="G231">
        <v>441.21</v>
      </c>
      <c r="H231" t="s">
        <v>10</v>
      </c>
      <c r="I231" cm="1">
        <f t="array" ref="I231">_xlfn.IFS(H231="Credit Card",1,H231="PayPal",2,H231="Cash",3,H231="Bank Transfer",4,TRUE,5)</f>
        <v>3</v>
      </c>
    </row>
    <row r="232" spans="1:9" x14ac:dyDescent="0.3">
      <c r="A232">
        <v>181</v>
      </c>
      <c r="B232">
        <v>149</v>
      </c>
      <c r="C232">
        <v>425</v>
      </c>
      <c r="D232">
        <v>5</v>
      </c>
      <c r="E232" s="1">
        <v>45323</v>
      </c>
      <c r="F232">
        <v>18</v>
      </c>
      <c r="G232">
        <v>1585.48</v>
      </c>
      <c r="H232" t="s">
        <v>8</v>
      </c>
      <c r="I232" cm="1">
        <f t="array" ref="I232">_xlfn.IFS(H232="Credit Card",1,H232="PayPal",2,H232="Cash",3,H232="Bank Transfer",4,TRUE,5)</f>
        <v>4</v>
      </c>
    </row>
    <row r="233" spans="1:9" x14ac:dyDescent="0.3">
      <c r="A233">
        <v>182</v>
      </c>
      <c r="B233">
        <v>688</v>
      </c>
      <c r="C233">
        <v>72</v>
      </c>
      <c r="D233">
        <v>1</v>
      </c>
      <c r="E233" s="1">
        <v>45569</v>
      </c>
      <c r="F233">
        <v>19</v>
      </c>
      <c r="G233">
        <v>1817.61</v>
      </c>
      <c r="H233" t="s">
        <v>9</v>
      </c>
      <c r="I233" cm="1">
        <f t="array" ref="I233">_xlfn.IFS(H233="Credit Card",1,H233="PayPal",2,H233="Cash",3,H233="Bank Transfer",4,TRUE,5)</f>
        <v>1</v>
      </c>
    </row>
    <row r="234" spans="1:9" x14ac:dyDescent="0.3">
      <c r="A234">
        <v>183</v>
      </c>
      <c r="B234">
        <v>704</v>
      </c>
      <c r="C234">
        <v>973</v>
      </c>
      <c r="D234">
        <v>4</v>
      </c>
      <c r="E234" s="1">
        <v>45567</v>
      </c>
      <c r="F234">
        <v>9</v>
      </c>
      <c r="G234">
        <v>785.71</v>
      </c>
      <c r="H234" t="s">
        <v>8</v>
      </c>
      <c r="I234" cm="1">
        <f t="array" ref="I234">_xlfn.IFS(H234="Credit Card",1,H234="PayPal",2,H234="Cash",3,H234="Bank Transfer",4,TRUE,5)</f>
        <v>4</v>
      </c>
    </row>
    <row r="235" spans="1:9" x14ac:dyDescent="0.3">
      <c r="A235">
        <v>184</v>
      </c>
      <c r="B235">
        <v>659</v>
      </c>
      <c r="C235">
        <v>780</v>
      </c>
      <c r="D235">
        <v>2</v>
      </c>
      <c r="E235" s="1">
        <v>45337</v>
      </c>
      <c r="F235">
        <v>17</v>
      </c>
      <c r="G235">
        <v>1901.14</v>
      </c>
      <c r="H235" t="s">
        <v>11</v>
      </c>
      <c r="I235" cm="1">
        <f t="array" ref="I235">_xlfn.IFS(H235="Credit Card",1,H235="PayPal",2,H235="Cash",3,H235="Bank Transfer",4,TRUE,5)</f>
        <v>2</v>
      </c>
    </row>
    <row r="236" spans="1:9" x14ac:dyDescent="0.3">
      <c r="A236">
        <v>185</v>
      </c>
      <c r="B236">
        <v>107</v>
      </c>
      <c r="C236">
        <v>637</v>
      </c>
      <c r="D236">
        <v>1</v>
      </c>
      <c r="E236" s="1">
        <v>45348</v>
      </c>
      <c r="F236">
        <v>11</v>
      </c>
      <c r="G236">
        <v>302.07</v>
      </c>
      <c r="H236" t="s">
        <v>10</v>
      </c>
      <c r="I236" cm="1">
        <f t="array" ref="I236">_xlfn.IFS(H236="Credit Card",1,H236="PayPal",2,H236="Cash",3,H236="Bank Transfer",4,TRUE,5)</f>
        <v>3</v>
      </c>
    </row>
    <row r="237" spans="1:9" x14ac:dyDescent="0.3">
      <c r="A237">
        <v>186</v>
      </c>
      <c r="B237">
        <v>819</v>
      </c>
      <c r="C237">
        <v>913</v>
      </c>
      <c r="D237">
        <v>3</v>
      </c>
      <c r="E237" s="1">
        <v>45516</v>
      </c>
      <c r="F237">
        <v>18</v>
      </c>
      <c r="G237">
        <v>467.09</v>
      </c>
      <c r="H237" t="s">
        <v>10</v>
      </c>
      <c r="I237" cm="1">
        <f t="array" ref="I237">_xlfn.IFS(H237="Credit Card",1,H237="PayPal",2,H237="Cash",3,H237="Bank Transfer",4,TRUE,5)</f>
        <v>3</v>
      </c>
    </row>
    <row r="238" spans="1:9" x14ac:dyDescent="0.3">
      <c r="A238">
        <v>187</v>
      </c>
      <c r="B238">
        <v>781</v>
      </c>
      <c r="C238">
        <v>722</v>
      </c>
      <c r="D238">
        <v>4</v>
      </c>
      <c r="E238" s="1">
        <v>45292</v>
      </c>
      <c r="F238">
        <v>3</v>
      </c>
      <c r="G238">
        <v>1130.75</v>
      </c>
      <c r="H238" t="s">
        <v>9</v>
      </c>
      <c r="I238" cm="1">
        <f t="array" ref="I238">_xlfn.IFS(H238="Credit Card",1,H238="PayPal",2,H238="Cash",3,H238="Bank Transfer",4,TRUE,5)</f>
        <v>1</v>
      </c>
    </row>
    <row r="239" spans="1:9" x14ac:dyDescent="0.3">
      <c r="A239">
        <v>188</v>
      </c>
      <c r="B239">
        <v>533</v>
      </c>
      <c r="C239">
        <v>803</v>
      </c>
      <c r="D239">
        <v>1</v>
      </c>
      <c r="E239" s="1">
        <v>45485</v>
      </c>
      <c r="F239">
        <v>15</v>
      </c>
      <c r="G239">
        <v>839.12</v>
      </c>
      <c r="H239" t="s">
        <v>8</v>
      </c>
      <c r="I239" cm="1">
        <f t="array" ref="I239">_xlfn.IFS(H239="Credit Card",1,H239="PayPal",2,H239="Cash",3,H239="Bank Transfer",4,TRUE,5)</f>
        <v>4</v>
      </c>
    </row>
    <row r="240" spans="1:9" x14ac:dyDescent="0.3">
      <c r="A240">
        <v>189</v>
      </c>
      <c r="B240">
        <v>373</v>
      </c>
      <c r="C240">
        <v>362</v>
      </c>
      <c r="D240">
        <v>3</v>
      </c>
      <c r="E240" s="1">
        <v>45410</v>
      </c>
      <c r="F240">
        <v>16</v>
      </c>
      <c r="G240">
        <v>978.67</v>
      </c>
      <c r="H240" t="s">
        <v>9</v>
      </c>
      <c r="I240" cm="1">
        <f t="array" ref="I240">_xlfn.IFS(H240="Credit Card",1,H240="PayPal",2,H240="Cash",3,H240="Bank Transfer",4,TRUE,5)</f>
        <v>1</v>
      </c>
    </row>
    <row r="241" spans="1:9" x14ac:dyDescent="0.3">
      <c r="A241">
        <v>191</v>
      </c>
      <c r="B241">
        <v>50</v>
      </c>
      <c r="C241">
        <v>781</v>
      </c>
      <c r="D241">
        <v>2</v>
      </c>
      <c r="E241" s="1">
        <v>45479</v>
      </c>
      <c r="F241">
        <v>14</v>
      </c>
      <c r="G241">
        <v>511.85</v>
      </c>
      <c r="H241" t="s">
        <v>11</v>
      </c>
      <c r="I241" cm="1">
        <f t="array" ref="I241">_xlfn.IFS(H241="Credit Card",1,H241="PayPal",2,H241="Cash",3,H241="Bank Transfer",4,TRUE,5)</f>
        <v>2</v>
      </c>
    </row>
    <row r="242" spans="1:9" x14ac:dyDescent="0.3">
      <c r="A242">
        <v>192</v>
      </c>
      <c r="B242">
        <v>984</v>
      </c>
      <c r="C242">
        <v>881</v>
      </c>
      <c r="D242">
        <v>5</v>
      </c>
      <c r="E242" s="1">
        <v>45352</v>
      </c>
      <c r="F242">
        <v>12</v>
      </c>
      <c r="G242">
        <v>194.64</v>
      </c>
      <c r="H242" t="s">
        <v>9</v>
      </c>
      <c r="I242" cm="1">
        <f t="array" ref="I242">_xlfn.IFS(H242="Credit Card",1,H242="PayPal",2,H242="Cash",3,H242="Bank Transfer",4,TRUE,5)</f>
        <v>1</v>
      </c>
    </row>
    <row r="243" spans="1:9" x14ac:dyDescent="0.3">
      <c r="A243">
        <v>193</v>
      </c>
      <c r="B243">
        <v>306</v>
      </c>
      <c r="C243">
        <v>605</v>
      </c>
      <c r="D243">
        <v>4</v>
      </c>
      <c r="E243" s="1">
        <v>45399</v>
      </c>
      <c r="F243">
        <v>11</v>
      </c>
      <c r="G243">
        <v>1046.8399999999999</v>
      </c>
      <c r="H243" t="s">
        <v>10</v>
      </c>
      <c r="I243" cm="1">
        <f t="array" ref="I243">_xlfn.IFS(H243="Credit Card",1,H243="PayPal",2,H243="Cash",3,H243="Bank Transfer",4,TRUE,5)</f>
        <v>3</v>
      </c>
    </row>
    <row r="244" spans="1:9" x14ac:dyDescent="0.3">
      <c r="A244">
        <v>194</v>
      </c>
      <c r="B244">
        <v>136</v>
      </c>
      <c r="C244">
        <v>960</v>
      </c>
      <c r="D244">
        <v>2</v>
      </c>
      <c r="E244" s="1">
        <v>45324</v>
      </c>
      <c r="F244">
        <v>15</v>
      </c>
      <c r="G244">
        <v>495.57</v>
      </c>
      <c r="H244" t="s">
        <v>8</v>
      </c>
      <c r="I244" cm="1">
        <f t="array" ref="I244">_xlfn.IFS(H244="Credit Card",1,H244="PayPal",2,H244="Cash",3,H244="Bank Transfer",4,TRUE,5)</f>
        <v>4</v>
      </c>
    </row>
    <row r="245" spans="1:9" x14ac:dyDescent="0.3">
      <c r="A245">
        <v>195</v>
      </c>
      <c r="B245">
        <v>54</v>
      </c>
      <c r="C245">
        <v>366</v>
      </c>
      <c r="D245">
        <v>3</v>
      </c>
      <c r="E245" s="1">
        <v>45473</v>
      </c>
      <c r="F245">
        <v>19</v>
      </c>
      <c r="G245">
        <v>1267.67</v>
      </c>
      <c r="H245" t="s">
        <v>10</v>
      </c>
      <c r="I245" cm="1">
        <f t="array" ref="I245">_xlfn.IFS(H245="Credit Card",1,H245="PayPal",2,H245="Cash",3,H245="Bank Transfer",4,TRUE,5)</f>
        <v>3</v>
      </c>
    </row>
    <row r="246" spans="1:9" x14ac:dyDescent="0.3">
      <c r="A246">
        <v>196</v>
      </c>
      <c r="B246">
        <v>287</v>
      </c>
      <c r="C246">
        <v>129</v>
      </c>
      <c r="D246">
        <v>4</v>
      </c>
      <c r="E246" s="1">
        <v>45493</v>
      </c>
      <c r="F246">
        <v>18</v>
      </c>
      <c r="G246">
        <v>142.44999999999999</v>
      </c>
      <c r="H246" t="s">
        <v>9</v>
      </c>
      <c r="I246" cm="1">
        <f t="array" ref="I246">_xlfn.IFS(H246="Credit Card",1,H246="PayPal",2,H246="Cash",3,H246="Bank Transfer",4,TRUE,5)</f>
        <v>1</v>
      </c>
    </row>
    <row r="247" spans="1:9" x14ac:dyDescent="0.3">
      <c r="A247">
        <v>197</v>
      </c>
      <c r="B247">
        <v>803</v>
      </c>
      <c r="C247">
        <v>246</v>
      </c>
      <c r="D247">
        <v>2</v>
      </c>
      <c r="E247" s="1">
        <v>45551</v>
      </c>
      <c r="F247">
        <v>6</v>
      </c>
      <c r="G247">
        <v>29.45</v>
      </c>
      <c r="H247" t="s">
        <v>10</v>
      </c>
      <c r="I247" cm="1">
        <f t="array" ref="I247">_xlfn.IFS(H247="Credit Card",1,H247="PayPal",2,H247="Cash",3,H247="Bank Transfer",4,TRUE,5)</f>
        <v>3</v>
      </c>
    </row>
    <row r="248" spans="1:9" x14ac:dyDescent="0.3">
      <c r="A248">
        <v>198</v>
      </c>
      <c r="B248">
        <v>727</v>
      </c>
      <c r="C248">
        <v>337</v>
      </c>
      <c r="D248">
        <v>4</v>
      </c>
      <c r="E248" s="1">
        <v>45343</v>
      </c>
      <c r="F248">
        <v>16</v>
      </c>
      <c r="G248">
        <v>1152.43</v>
      </c>
      <c r="H248" t="s">
        <v>11</v>
      </c>
      <c r="I248" cm="1">
        <f t="array" ref="I248">_xlfn.IFS(H248="Credit Card",1,H248="PayPal",2,H248="Cash",3,H248="Bank Transfer",4,TRUE,5)</f>
        <v>2</v>
      </c>
    </row>
    <row r="249" spans="1:9" x14ac:dyDescent="0.3">
      <c r="A249">
        <v>199</v>
      </c>
      <c r="B249">
        <v>291</v>
      </c>
      <c r="C249">
        <v>487</v>
      </c>
      <c r="D249">
        <v>4</v>
      </c>
      <c r="E249" s="1">
        <v>45363</v>
      </c>
      <c r="F249">
        <v>15</v>
      </c>
      <c r="G249">
        <v>227.37</v>
      </c>
      <c r="H249" t="s">
        <v>10</v>
      </c>
      <c r="I249" cm="1">
        <f t="array" ref="I249">_xlfn.IFS(H249="Credit Card",1,H249="PayPal",2,H249="Cash",3,H249="Bank Transfer",4,TRUE,5)</f>
        <v>3</v>
      </c>
    </row>
    <row r="250" spans="1:9" x14ac:dyDescent="0.3">
      <c r="A250">
        <v>200</v>
      </c>
      <c r="B250">
        <v>702</v>
      </c>
      <c r="C250">
        <v>873</v>
      </c>
      <c r="D250">
        <v>3</v>
      </c>
      <c r="E250" s="1">
        <v>45393</v>
      </c>
      <c r="F250">
        <v>7</v>
      </c>
      <c r="G250">
        <v>560.79</v>
      </c>
      <c r="H250" t="s">
        <v>8</v>
      </c>
      <c r="I250" cm="1">
        <f t="array" ref="I250">_xlfn.IFS(H250="Credit Card",1,H250="PayPal",2,H250="Cash",3,H250="Bank Transfer",4,TRUE,5)</f>
        <v>4</v>
      </c>
    </row>
    <row r="251" spans="1:9" x14ac:dyDescent="0.3">
      <c r="A251">
        <v>201</v>
      </c>
      <c r="B251">
        <v>949</v>
      </c>
      <c r="C251">
        <v>468</v>
      </c>
      <c r="D251">
        <v>1</v>
      </c>
      <c r="E251" s="1">
        <v>45299</v>
      </c>
      <c r="F251">
        <v>3</v>
      </c>
      <c r="G251">
        <v>643.80999999999995</v>
      </c>
      <c r="H251" t="s">
        <v>9</v>
      </c>
      <c r="I251" cm="1">
        <f t="array" ref="I251">_xlfn.IFS(H251="Credit Card",1,H251="PayPal",2,H251="Cash",3,H251="Bank Transfer",4,TRUE,5)</f>
        <v>1</v>
      </c>
    </row>
    <row r="252" spans="1:9" x14ac:dyDescent="0.3">
      <c r="A252">
        <v>202</v>
      </c>
      <c r="B252">
        <v>498</v>
      </c>
      <c r="C252">
        <v>971</v>
      </c>
      <c r="D252">
        <v>1</v>
      </c>
      <c r="E252" s="1">
        <v>45618</v>
      </c>
      <c r="F252">
        <v>14</v>
      </c>
      <c r="G252">
        <v>1335.29</v>
      </c>
      <c r="H252" t="s">
        <v>9</v>
      </c>
      <c r="I252" cm="1">
        <f t="array" ref="I252">_xlfn.IFS(H252="Credit Card",1,H252="PayPal",2,H252="Cash",3,H252="Bank Transfer",4,TRUE,5)</f>
        <v>1</v>
      </c>
    </row>
    <row r="253" spans="1:9" x14ac:dyDescent="0.3">
      <c r="A253">
        <v>203</v>
      </c>
      <c r="B253">
        <v>578</v>
      </c>
      <c r="C253">
        <v>144</v>
      </c>
      <c r="D253">
        <v>2</v>
      </c>
      <c r="E253" s="1">
        <v>45538</v>
      </c>
      <c r="F253">
        <v>3</v>
      </c>
      <c r="G253">
        <v>1736.8</v>
      </c>
      <c r="H253" t="s">
        <v>10</v>
      </c>
      <c r="I253" cm="1">
        <f t="array" ref="I253">_xlfn.IFS(H253="Credit Card",1,H253="PayPal",2,H253="Cash",3,H253="Bank Transfer",4,TRUE,5)</f>
        <v>3</v>
      </c>
    </row>
    <row r="254" spans="1:9" x14ac:dyDescent="0.3">
      <c r="A254">
        <v>204</v>
      </c>
      <c r="B254">
        <v>832</v>
      </c>
      <c r="C254">
        <v>523</v>
      </c>
      <c r="D254">
        <v>5</v>
      </c>
      <c r="E254" s="1">
        <v>45528</v>
      </c>
      <c r="F254">
        <v>13</v>
      </c>
      <c r="G254">
        <v>1750.16</v>
      </c>
      <c r="H254" t="s">
        <v>9</v>
      </c>
      <c r="I254" cm="1">
        <f t="array" ref="I254">_xlfn.IFS(H254="Credit Card",1,H254="PayPal",2,H254="Cash",3,H254="Bank Transfer",4,TRUE,5)</f>
        <v>1</v>
      </c>
    </row>
    <row r="255" spans="1:9" x14ac:dyDescent="0.3">
      <c r="A255">
        <v>205</v>
      </c>
      <c r="B255">
        <v>541</v>
      </c>
      <c r="C255">
        <v>372</v>
      </c>
      <c r="D255">
        <v>5</v>
      </c>
      <c r="E255" s="1">
        <v>45613</v>
      </c>
      <c r="F255">
        <v>5</v>
      </c>
      <c r="G255">
        <v>1026.55</v>
      </c>
      <c r="H255" t="s">
        <v>9</v>
      </c>
      <c r="I255" cm="1">
        <f t="array" ref="I255">_xlfn.IFS(H255="Credit Card",1,H255="PayPal",2,H255="Cash",3,H255="Bank Transfer",4,TRUE,5)</f>
        <v>1</v>
      </c>
    </row>
    <row r="256" spans="1:9" x14ac:dyDescent="0.3">
      <c r="A256">
        <v>206</v>
      </c>
      <c r="B256">
        <v>815</v>
      </c>
      <c r="C256">
        <v>571</v>
      </c>
      <c r="D256">
        <v>3</v>
      </c>
      <c r="E256" s="1">
        <v>45557</v>
      </c>
      <c r="F256">
        <v>6</v>
      </c>
      <c r="G256">
        <v>1560.14</v>
      </c>
      <c r="H256" t="s">
        <v>10</v>
      </c>
      <c r="I256" cm="1">
        <f t="array" ref="I256">_xlfn.IFS(H256="Credit Card",1,H256="PayPal",2,H256="Cash",3,H256="Bank Transfer",4,TRUE,5)</f>
        <v>3</v>
      </c>
    </row>
    <row r="257" spans="1:9" x14ac:dyDescent="0.3">
      <c r="A257">
        <v>207</v>
      </c>
      <c r="B257">
        <v>410</v>
      </c>
      <c r="C257">
        <v>437</v>
      </c>
      <c r="D257">
        <v>4</v>
      </c>
      <c r="E257" s="1">
        <v>45377</v>
      </c>
      <c r="F257">
        <v>15</v>
      </c>
      <c r="G257">
        <v>1092.93</v>
      </c>
      <c r="H257" t="s">
        <v>9</v>
      </c>
      <c r="I257" cm="1">
        <f t="array" ref="I257">_xlfn.IFS(H257="Credit Card",1,H257="PayPal",2,H257="Cash",3,H257="Bank Transfer",4,TRUE,5)</f>
        <v>1</v>
      </c>
    </row>
    <row r="258" spans="1:9" x14ac:dyDescent="0.3">
      <c r="A258">
        <v>208</v>
      </c>
      <c r="B258">
        <v>641</v>
      </c>
      <c r="C258">
        <v>577</v>
      </c>
      <c r="D258">
        <v>4</v>
      </c>
      <c r="E258" s="1">
        <v>45318</v>
      </c>
      <c r="F258">
        <v>18</v>
      </c>
      <c r="G258">
        <v>1944.66</v>
      </c>
      <c r="H258" t="s">
        <v>11</v>
      </c>
      <c r="I258" cm="1">
        <f t="array" ref="I258">_xlfn.IFS(H258="Credit Card",1,H258="PayPal",2,H258="Cash",3,H258="Bank Transfer",4,TRUE,5)</f>
        <v>2</v>
      </c>
    </row>
    <row r="259" spans="1:9" x14ac:dyDescent="0.3">
      <c r="A259">
        <v>209</v>
      </c>
      <c r="B259">
        <v>349</v>
      </c>
      <c r="C259">
        <v>445</v>
      </c>
      <c r="D259">
        <v>1</v>
      </c>
      <c r="E259" s="1">
        <v>45309</v>
      </c>
      <c r="F259">
        <v>18</v>
      </c>
      <c r="G259">
        <v>1553.75</v>
      </c>
      <c r="H259" t="s">
        <v>8</v>
      </c>
      <c r="I259" cm="1">
        <f t="array" ref="I259">_xlfn.IFS(H259="Credit Card",1,H259="PayPal",2,H259="Cash",3,H259="Bank Transfer",4,TRUE,5)</f>
        <v>4</v>
      </c>
    </row>
    <row r="260" spans="1:9" x14ac:dyDescent="0.3">
      <c r="A260">
        <v>211</v>
      </c>
      <c r="B260">
        <v>55</v>
      </c>
      <c r="C260">
        <v>165</v>
      </c>
      <c r="D260">
        <v>5</v>
      </c>
      <c r="E260" s="1">
        <v>45529</v>
      </c>
      <c r="F260">
        <v>12</v>
      </c>
      <c r="G260">
        <v>112.86</v>
      </c>
      <c r="H260" t="s">
        <v>9</v>
      </c>
      <c r="I260" cm="1">
        <f t="array" ref="I260">_xlfn.IFS(H260="Credit Card",1,H260="PayPal",2,H260="Cash",3,H260="Bank Transfer",4,TRUE,5)</f>
        <v>1</v>
      </c>
    </row>
    <row r="261" spans="1:9" x14ac:dyDescent="0.3">
      <c r="A261">
        <v>214</v>
      </c>
      <c r="B261">
        <v>309</v>
      </c>
      <c r="C261">
        <v>405</v>
      </c>
      <c r="D261">
        <v>2</v>
      </c>
      <c r="E261" s="1">
        <v>45396</v>
      </c>
      <c r="F261">
        <v>6</v>
      </c>
      <c r="G261">
        <v>569.42999999999995</v>
      </c>
      <c r="H261" t="s">
        <v>11</v>
      </c>
      <c r="I261" cm="1">
        <f t="array" ref="I261">_xlfn.IFS(H261="Credit Card",1,H261="PayPal",2,H261="Cash",3,H261="Bank Transfer",4,TRUE,5)</f>
        <v>2</v>
      </c>
    </row>
    <row r="262" spans="1:9" x14ac:dyDescent="0.3">
      <c r="A262">
        <v>215</v>
      </c>
      <c r="B262">
        <v>291</v>
      </c>
      <c r="C262">
        <v>943</v>
      </c>
      <c r="D262">
        <v>1</v>
      </c>
      <c r="E262" s="1">
        <v>45364</v>
      </c>
      <c r="F262">
        <v>11</v>
      </c>
      <c r="G262">
        <v>1515.24</v>
      </c>
      <c r="H262" t="s">
        <v>10</v>
      </c>
      <c r="I262" cm="1">
        <f t="array" ref="I262">_xlfn.IFS(H262="Credit Card",1,H262="PayPal",2,H262="Cash",3,H262="Bank Transfer",4,TRUE,5)</f>
        <v>3</v>
      </c>
    </row>
    <row r="263" spans="1:9" x14ac:dyDescent="0.3">
      <c r="A263">
        <v>216</v>
      </c>
      <c r="B263">
        <v>499</v>
      </c>
      <c r="C263">
        <v>800</v>
      </c>
      <c r="D263">
        <v>3</v>
      </c>
      <c r="E263" s="1">
        <v>45579</v>
      </c>
      <c r="F263">
        <v>7</v>
      </c>
      <c r="G263">
        <v>1860.11</v>
      </c>
      <c r="H263" t="s">
        <v>9</v>
      </c>
      <c r="I263" cm="1">
        <f t="array" ref="I263">_xlfn.IFS(H263="Credit Card",1,H263="PayPal",2,H263="Cash",3,H263="Bank Transfer",4,TRUE,5)</f>
        <v>1</v>
      </c>
    </row>
    <row r="264" spans="1:9" x14ac:dyDescent="0.3">
      <c r="A264">
        <v>217</v>
      </c>
      <c r="B264">
        <v>802</v>
      </c>
      <c r="C264">
        <v>721</v>
      </c>
      <c r="D264">
        <v>1</v>
      </c>
      <c r="E264" s="1">
        <v>45517</v>
      </c>
      <c r="F264">
        <v>19</v>
      </c>
      <c r="G264">
        <v>210.33</v>
      </c>
      <c r="H264" t="s">
        <v>9</v>
      </c>
      <c r="I264" cm="1">
        <f t="array" ref="I264">_xlfn.IFS(H264="Credit Card",1,H264="PayPal",2,H264="Cash",3,H264="Bank Transfer",4,TRUE,5)</f>
        <v>1</v>
      </c>
    </row>
    <row r="265" spans="1:9" x14ac:dyDescent="0.3">
      <c r="A265">
        <v>218</v>
      </c>
      <c r="B265">
        <v>474</v>
      </c>
      <c r="C265">
        <v>645</v>
      </c>
      <c r="D265">
        <v>3</v>
      </c>
      <c r="E265" s="1">
        <v>45571</v>
      </c>
      <c r="F265">
        <v>10</v>
      </c>
      <c r="G265">
        <v>387.61</v>
      </c>
      <c r="H265" t="s">
        <v>8</v>
      </c>
      <c r="I265" cm="1">
        <f t="array" ref="I265">_xlfn.IFS(H265="Credit Card",1,H265="PayPal",2,H265="Cash",3,H265="Bank Transfer",4,TRUE,5)</f>
        <v>4</v>
      </c>
    </row>
    <row r="266" spans="1:9" x14ac:dyDescent="0.3">
      <c r="A266">
        <v>219</v>
      </c>
      <c r="B266">
        <v>864</v>
      </c>
      <c r="C266">
        <v>560</v>
      </c>
      <c r="D266">
        <v>2</v>
      </c>
      <c r="E266" s="1">
        <v>45489</v>
      </c>
      <c r="F266">
        <v>13</v>
      </c>
      <c r="G266">
        <v>1943.67</v>
      </c>
      <c r="H266" t="s">
        <v>10</v>
      </c>
      <c r="I266" cm="1">
        <f t="array" ref="I266">_xlfn.IFS(H266="Credit Card",1,H266="PayPal",2,H266="Cash",3,H266="Bank Transfer",4,TRUE,5)</f>
        <v>3</v>
      </c>
    </row>
    <row r="267" spans="1:9" x14ac:dyDescent="0.3">
      <c r="A267">
        <v>220</v>
      </c>
      <c r="B267">
        <v>342</v>
      </c>
      <c r="C267">
        <v>736</v>
      </c>
      <c r="D267">
        <v>1</v>
      </c>
      <c r="E267" s="1">
        <v>45512</v>
      </c>
      <c r="F267">
        <v>11</v>
      </c>
      <c r="G267">
        <v>242.55</v>
      </c>
      <c r="H267" t="s">
        <v>10</v>
      </c>
      <c r="I267" cm="1">
        <f t="array" ref="I267">_xlfn.IFS(H267="Credit Card",1,H267="PayPal",2,H267="Cash",3,H267="Bank Transfer",4,TRUE,5)</f>
        <v>3</v>
      </c>
    </row>
    <row r="268" spans="1:9" x14ac:dyDescent="0.3">
      <c r="A268">
        <v>222</v>
      </c>
      <c r="B268">
        <v>282</v>
      </c>
      <c r="C268">
        <v>547</v>
      </c>
      <c r="D268">
        <v>3</v>
      </c>
      <c r="E268" s="1">
        <v>45516</v>
      </c>
      <c r="F268">
        <v>13</v>
      </c>
      <c r="G268">
        <v>1687.73</v>
      </c>
      <c r="H268" t="s">
        <v>8</v>
      </c>
      <c r="I268" cm="1">
        <f t="array" ref="I268">_xlfn.IFS(H268="Credit Card",1,H268="PayPal",2,H268="Cash",3,H268="Bank Transfer",4,TRUE,5)</f>
        <v>4</v>
      </c>
    </row>
    <row r="269" spans="1:9" x14ac:dyDescent="0.3">
      <c r="A269">
        <v>223</v>
      </c>
      <c r="B269">
        <v>559</v>
      </c>
      <c r="C269">
        <v>891</v>
      </c>
      <c r="D269">
        <v>1</v>
      </c>
      <c r="E269" s="1">
        <v>45520</v>
      </c>
      <c r="F269">
        <v>8</v>
      </c>
      <c r="G269">
        <v>1331.83</v>
      </c>
      <c r="H269" t="s">
        <v>11</v>
      </c>
      <c r="I269" cm="1">
        <f t="array" ref="I269">_xlfn.IFS(H269="Credit Card",1,H269="PayPal",2,H269="Cash",3,H269="Bank Transfer",4,TRUE,5)</f>
        <v>2</v>
      </c>
    </row>
    <row r="270" spans="1:9" x14ac:dyDescent="0.3">
      <c r="A270">
        <v>225</v>
      </c>
      <c r="B270">
        <v>262</v>
      </c>
      <c r="C270">
        <v>71</v>
      </c>
      <c r="D270">
        <v>2</v>
      </c>
      <c r="E270" s="1">
        <v>45551</v>
      </c>
      <c r="F270">
        <v>4</v>
      </c>
      <c r="G270">
        <v>1062</v>
      </c>
      <c r="H270" t="s">
        <v>8</v>
      </c>
      <c r="I270" cm="1">
        <f t="array" ref="I270">_xlfn.IFS(H270="Credit Card",1,H270="PayPal",2,H270="Cash",3,H270="Bank Transfer",4,TRUE,5)</f>
        <v>4</v>
      </c>
    </row>
    <row r="271" spans="1:9" x14ac:dyDescent="0.3">
      <c r="A271">
        <v>226</v>
      </c>
      <c r="B271">
        <v>270</v>
      </c>
      <c r="C271">
        <v>130</v>
      </c>
      <c r="D271">
        <v>4</v>
      </c>
      <c r="E271" s="1">
        <v>45602</v>
      </c>
      <c r="F271">
        <v>10</v>
      </c>
      <c r="G271">
        <v>1569.4</v>
      </c>
      <c r="H271" t="s">
        <v>10</v>
      </c>
      <c r="I271" cm="1">
        <f t="array" ref="I271">_xlfn.IFS(H271="Credit Card",1,H271="PayPal",2,H271="Cash",3,H271="Bank Transfer",4,TRUE,5)</f>
        <v>3</v>
      </c>
    </row>
    <row r="272" spans="1:9" x14ac:dyDescent="0.3">
      <c r="A272">
        <v>227</v>
      </c>
      <c r="B272">
        <v>969</v>
      </c>
      <c r="C272">
        <v>178</v>
      </c>
      <c r="D272">
        <v>5</v>
      </c>
      <c r="E272" s="1">
        <v>45466</v>
      </c>
      <c r="F272">
        <v>14</v>
      </c>
      <c r="G272">
        <v>1621.58</v>
      </c>
      <c r="H272" t="s">
        <v>8</v>
      </c>
      <c r="I272" cm="1">
        <f t="array" ref="I272">_xlfn.IFS(H272="Credit Card",1,H272="PayPal",2,H272="Cash",3,H272="Bank Transfer",4,TRUE,5)</f>
        <v>4</v>
      </c>
    </row>
    <row r="273" spans="1:9" x14ac:dyDescent="0.3">
      <c r="A273">
        <v>228</v>
      </c>
      <c r="B273">
        <v>796</v>
      </c>
      <c r="C273">
        <v>353</v>
      </c>
      <c r="D273">
        <v>3</v>
      </c>
      <c r="E273" s="1">
        <v>45560</v>
      </c>
      <c r="F273">
        <v>12</v>
      </c>
      <c r="G273">
        <v>904.89</v>
      </c>
      <c r="H273" t="s">
        <v>9</v>
      </c>
      <c r="I273" cm="1">
        <f t="array" ref="I273">_xlfn.IFS(H273="Credit Card",1,H273="PayPal",2,H273="Cash",3,H273="Bank Transfer",4,TRUE,5)</f>
        <v>1</v>
      </c>
    </row>
    <row r="274" spans="1:9" x14ac:dyDescent="0.3">
      <c r="A274">
        <v>229</v>
      </c>
      <c r="B274">
        <v>593</v>
      </c>
      <c r="C274">
        <v>635</v>
      </c>
      <c r="D274">
        <v>3</v>
      </c>
      <c r="E274" s="1">
        <v>45565</v>
      </c>
      <c r="F274">
        <v>8</v>
      </c>
      <c r="G274">
        <v>1858.95</v>
      </c>
      <c r="H274" t="s">
        <v>8</v>
      </c>
      <c r="I274" cm="1">
        <f t="array" ref="I274">_xlfn.IFS(H274="Credit Card",1,H274="PayPal",2,H274="Cash",3,H274="Bank Transfer",4,TRUE,5)</f>
        <v>4</v>
      </c>
    </row>
    <row r="275" spans="1:9" x14ac:dyDescent="0.3">
      <c r="A275">
        <v>230</v>
      </c>
      <c r="B275">
        <v>504</v>
      </c>
      <c r="C275">
        <v>360</v>
      </c>
      <c r="D275">
        <v>3</v>
      </c>
      <c r="E275" s="1">
        <v>45395</v>
      </c>
      <c r="F275">
        <v>17</v>
      </c>
      <c r="G275">
        <v>348.06</v>
      </c>
      <c r="H275" t="s">
        <v>11</v>
      </c>
      <c r="I275" cm="1">
        <f t="array" ref="I275">_xlfn.IFS(H275="Credit Card",1,H275="PayPal",2,H275="Cash",3,H275="Bank Transfer",4,TRUE,5)</f>
        <v>2</v>
      </c>
    </row>
    <row r="276" spans="1:9" x14ac:dyDescent="0.3">
      <c r="A276">
        <v>231</v>
      </c>
      <c r="B276">
        <v>418</v>
      </c>
      <c r="C276">
        <v>528</v>
      </c>
      <c r="D276">
        <v>2</v>
      </c>
      <c r="E276" s="1">
        <v>45357</v>
      </c>
      <c r="F276">
        <v>14</v>
      </c>
      <c r="G276">
        <v>411</v>
      </c>
      <c r="H276" t="s">
        <v>8</v>
      </c>
      <c r="I276" cm="1">
        <f t="array" ref="I276">_xlfn.IFS(H276="Credit Card",1,H276="PayPal",2,H276="Cash",3,H276="Bank Transfer",4,TRUE,5)</f>
        <v>4</v>
      </c>
    </row>
    <row r="277" spans="1:9" x14ac:dyDescent="0.3">
      <c r="A277">
        <v>232</v>
      </c>
      <c r="B277">
        <v>284</v>
      </c>
      <c r="C277">
        <v>821</v>
      </c>
      <c r="D277">
        <v>1</v>
      </c>
      <c r="E277" s="1">
        <v>45600</v>
      </c>
      <c r="F277">
        <v>1</v>
      </c>
      <c r="G277">
        <v>491.54</v>
      </c>
      <c r="H277" t="s">
        <v>9</v>
      </c>
      <c r="I277" cm="1">
        <f t="array" ref="I277">_xlfn.IFS(H277="Credit Card",1,H277="PayPal",2,H277="Cash",3,H277="Bank Transfer",4,TRUE,5)</f>
        <v>1</v>
      </c>
    </row>
    <row r="278" spans="1:9" x14ac:dyDescent="0.3">
      <c r="A278">
        <v>233</v>
      </c>
      <c r="B278">
        <v>74</v>
      </c>
      <c r="C278">
        <v>812</v>
      </c>
      <c r="D278">
        <v>5</v>
      </c>
      <c r="E278" s="1">
        <v>45610</v>
      </c>
      <c r="F278">
        <v>8</v>
      </c>
      <c r="G278">
        <v>1982.93</v>
      </c>
      <c r="H278" t="s">
        <v>8</v>
      </c>
      <c r="I278" cm="1">
        <f t="array" ref="I278">_xlfn.IFS(H278="Credit Card",1,H278="PayPal",2,H278="Cash",3,H278="Bank Transfer",4,TRUE,5)</f>
        <v>4</v>
      </c>
    </row>
    <row r="279" spans="1:9" x14ac:dyDescent="0.3">
      <c r="A279">
        <v>234</v>
      </c>
      <c r="B279">
        <v>228</v>
      </c>
      <c r="C279">
        <v>406</v>
      </c>
      <c r="D279">
        <v>4</v>
      </c>
      <c r="E279" s="1">
        <v>45356</v>
      </c>
      <c r="F279">
        <v>15</v>
      </c>
      <c r="G279">
        <v>75.45</v>
      </c>
      <c r="H279" t="s">
        <v>9</v>
      </c>
      <c r="I279" cm="1">
        <f t="array" ref="I279">_xlfn.IFS(H279="Credit Card",1,H279="PayPal",2,H279="Cash",3,H279="Bank Transfer",4,TRUE,5)</f>
        <v>1</v>
      </c>
    </row>
    <row r="280" spans="1:9" x14ac:dyDescent="0.3">
      <c r="A280">
        <v>235</v>
      </c>
      <c r="B280">
        <v>805</v>
      </c>
      <c r="C280">
        <v>444</v>
      </c>
      <c r="D280">
        <v>4</v>
      </c>
      <c r="E280" s="1">
        <v>45578</v>
      </c>
      <c r="F280">
        <v>4</v>
      </c>
      <c r="G280">
        <v>1492.93</v>
      </c>
      <c r="H280" t="s">
        <v>8</v>
      </c>
      <c r="I280" cm="1">
        <f t="array" ref="I280">_xlfn.IFS(H280="Credit Card",1,H280="PayPal",2,H280="Cash",3,H280="Bank Transfer",4,TRUE,5)</f>
        <v>4</v>
      </c>
    </row>
    <row r="281" spans="1:9" x14ac:dyDescent="0.3">
      <c r="A281">
        <v>236</v>
      </c>
      <c r="B281">
        <v>706</v>
      </c>
      <c r="C281">
        <v>714</v>
      </c>
      <c r="D281">
        <v>3</v>
      </c>
      <c r="E281" s="1">
        <v>45390</v>
      </c>
      <c r="F281">
        <v>4</v>
      </c>
      <c r="G281">
        <v>1171.44</v>
      </c>
      <c r="H281" t="s">
        <v>10</v>
      </c>
      <c r="I281" cm="1">
        <f t="array" ref="I281">_xlfn.IFS(H281="Credit Card",1,H281="PayPal",2,H281="Cash",3,H281="Bank Transfer",4,TRUE,5)</f>
        <v>3</v>
      </c>
    </row>
    <row r="282" spans="1:9" x14ac:dyDescent="0.3">
      <c r="A282">
        <v>237</v>
      </c>
      <c r="B282">
        <v>385</v>
      </c>
      <c r="C282">
        <v>952</v>
      </c>
      <c r="D282">
        <v>5</v>
      </c>
      <c r="E282" s="1">
        <v>45528</v>
      </c>
      <c r="F282">
        <v>17</v>
      </c>
      <c r="G282">
        <v>1553.88</v>
      </c>
      <c r="H282" t="s">
        <v>11</v>
      </c>
      <c r="I282" cm="1">
        <f t="array" ref="I282">_xlfn.IFS(H282="Credit Card",1,H282="PayPal",2,H282="Cash",3,H282="Bank Transfer",4,TRUE,5)</f>
        <v>2</v>
      </c>
    </row>
    <row r="283" spans="1:9" x14ac:dyDescent="0.3">
      <c r="A283">
        <v>238</v>
      </c>
      <c r="B283">
        <v>733</v>
      </c>
      <c r="C283">
        <v>447</v>
      </c>
      <c r="D283">
        <v>4</v>
      </c>
      <c r="E283" s="1">
        <v>45380</v>
      </c>
      <c r="F283">
        <v>1</v>
      </c>
      <c r="G283">
        <v>291.85000000000002</v>
      </c>
      <c r="H283" t="s">
        <v>8</v>
      </c>
      <c r="I283" cm="1">
        <f t="array" ref="I283">_xlfn.IFS(H283="Credit Card",1,H283="PayPal",2,H283="Cash",3,H283="Bank Transfer",4,TRUE,5)</f>
        <v>4</v>
      </c>
    </row>
    <row r="284" spans="1:9" x14ac:dyDescent="0.3">
      <c r="A284">
        <v>240</v>
      </c>
      <c r="B284">
        <v>351</v>
      </c>
      <c r="C284">
        <v>482</v>
      </c>
      <c r="D284">
        <v>5</v>
      </c>
      <c r="E284" s="1">
        <v>45351</v>
      </c>
      <c r="F284">
        <v>17</v>
      </c>
      <c r="G284">
        <v>1176.94</v>
      </c>
      <c r="H284" t="s">
        <v>10</v>
      </c>
      <c r="I284" cm="1">
        <f t="array" ref="I284">_xlfn.IFS(H284="Credit Card",1,H284="PayPal",2,H284="Cash",3,H284="Bank Transfer",4,TRUE,5)</f>
        <v>3</v>
      </c>
    </row>
    <row r="285" spans="1:9" x14ac:dyDescent="0.3">
      <c r="A285">
        <v>241</v>
      </c>
      <c r="B285">
        <v>622</v>
      </c>
      <c r="C285">
        <v>152</v>
      </c>
      <c r="D285">
        <v>3</v>
      </c>
      <c r="E285" s="1">
        <v>45300</v>
      </c>
      <c r="F285">
        <v>18</v>
      </c>
      <c r="G285">
        <v>1993.27</v>
      </c>
      <c r="H285" t="s">
        <v>10</v>
      </c>
      <c r="I285" cm="1">
        <f t="array" ref="I285">_xlfn.IFS(H285="Credit Card",1,H285="PayPal",2,H285="Cash",3,H285="Bank Transfer",4,TRUE,5)</f>
        <v>3</v>
      </c>
    </row>
    <row r="286" spans="1:9" x14ac:dyDescent="0.3">
      <c r="A286">
        <v>242</v>
      </c>
      <c r="B286">
        <v>454</v>
      </c>
      <c r="C286">
        <v>785</v>
      </c>
      <c r="D286">
        <v>3</v>
      </c>
      <c r="E286" s="1">
        <v>45426</v>
      </c>
      <c r="F286">
        <v>12</v>
      </c>
      <c r="G286">
        <v>643.62</v>
      </c>
      <c r="H286" t="s">
        <v>9</v>
      </c>
      <c r="I286" cm="1">
        <f t="array" ref="I286">_xlfn.IFS(H286="Credit Card",1,H286="PayPal",2,H286="Cash",3,H286="Bank Transfer",4,TRUE,5)</f>
        <v>1</v>
      </c>
    </row>
    <row r="287" spans="1:9" x14ac:dyDescent="0.3">
      <c r="A287">
        <v>243</v>
      </c>
      <c r="B287">
        <v>20</v>
      </c>
      <c r="C287">
        <v>978</v>
      </c>
      <c r="D287">
        <v>5</v>
      </c>
      <c r="E287" s="1">
        <v>45321</v>
      </c>
      <c r="F287">
        <v>13</v>
      </c>
      <c r="G287">
        <v>1800.32</v>
      </c>
      <c r="H287" t="s">
        <v>10</v>
      </c>
      <c r="I287" cm="1">
        <f t="array" ref="I287">_xlfn.IFS(H287="Credit Card",1,H287="PayPal",2,H287="Cash",3,H287="Bank Transfer",4,TRUE,5)</f>
        <v>3</v>
      </c>
    </row>
    <row r="288" spans="1:9" x14ac:dyDescent="0.3">
      <c r="A288">
        <v>244</v>
      </c>
      <c r="B288">
        <v>263</v>
      </c>
      <c r="C288">
        <v>655</v>
      </c>
      <c r="D288">
        <v>3</v>
      </c>
      <c r="E288" s="1">
        <v>45480</v>
      </c>
      <c r="F288">
        <v>16</v>
      </c>
      <c r="G288">
        <v>1826.04</v>
      </c>
      <c r="H288" t="s">
        <v>9</v>
      </c>
      <c r="I288" cm="1">
        <f t="array" ref="I288">_xlfn.IFS(H288="Credit Card",1,H288="PayPal",2,H288="Cash",3,H288="Bank Transfer",4,TRUE,5)</f>
        <v>1</v>
      </c>
    </row>
    <row r="289" spans="1:9" x14ac:dyDescent="0.3">
      <c r="A289">
        <v>245</v>
      </c>
      <c r="B289">
        <v>552</v>
      </c>
      <c r="C289">
        <v>575</v>
      </c>
      <c r="D289">
        <v>2</v>
      </c>
      <c r="E289" s="1">
        <v>45571</v>
      </c>
      <c r="F289">
        <v>13</v>
      </c>
      <c r="G289">
        <v>1828.41</v>
      </c>
      <c r="H289" t="s">
        <v>8</v>
      </c>
      <c r="I289" cm="1">
        <f t="array" ref="I289">_xlfn.IFS(H289="Credit Card",1,H289="PayPal",2,H289="Cash",3,H289="Bank Transfer",4,TRUE,5)</f>
        <v>4</v>
      </c>
    </row>
    <row r="290" spans="1:9" x14ac:dyDescent="0.3">
      <c r="A290">
        <v>246</v>
      </c>
      <c r="B290">
        <v>458</v>
      </c>
      <c r="C290">
        <v>374</v>
      </c>
      <c r="D290">
        <v>1</v>
      </c>
      <c r="E290" s="1">
        <v>45490</v>
      </c>
      <c r="F290">
        <v>9</v>
      </c>
      <c r="G290">
        <v>1581.93</v>
      </c>
      <c r="H290" t="s">
        <v>11</v>
      </c>
      <c r="I290" cm="1">
        <f t="array" ref="I290">_xlfn.IFS(H290="Credit Card",1,H290="PayPal",2,H290="Cash",3,H290="Bank Transfer",4,TRUE,5)</f>
        <v>2</v>
      </c>
    </row>
    <row r="291" spans="1:9" x14ac:dyDescent="0.3">
      <c r="A291">
        <v>247</v>
      </c>
      <c r="B291">
        <v>601</v>
      </c>
      <c r="C291">
        <v>985</v>
      </c>
      <c r="D291">
        <v>2</v>
      </c>
      <c r="E291" s="1">
        <v>45629</v>
      </c>
      <c r="F291">
        <v>14</v>
      </c>
      <c r="G291">
        <v>908.58</v>
      </c>
      <c r="H291" t="s">
        <v>9</v>
      </c>
      <c r="I291" cm="1">
        <f t="array" ref="I291">_xlfn.IFS(H291="Credit Card",1,H291="PayPal",2,H291="Cash",3,H291="Bank Transfer",4,TRUE,5)</f>
        <v>1</v>
      </c>
    </row>
    <row r="292" spans="1:9" x14ac:dyDescent="0.3">
      <c r="A292">
        <v>248</v>
      </c>
      <c r="B292">
        <v>941</v>
      </c>
      <c r="C292">
        <v>621</v>
      </c>
      <c r="D292">
        <v>1</v>
      </c>
      <c r="E292" s="1">
        <v>45571</v>
      </c>
      <c r="F292">
        <v>20</v>
      </c>
      <c r="G292">
        <v>1658.44</v>
      </c>
      <c r="H292" t="s">
        <v>11</v>
      </c>
      <c r="I292" cm="1">
        <f t="array" ref="I292">_xlfn.IFS(H292="Credit Card",1,H292="PayPal",2,H292="Cash",3,H292="Bank Transfer",4,TRUE,5)</f>
        <v>2</v>
      </c>
    </row>
    <row r="293" spans="1:9" x14ac:dyDescent="0.3">
      <c r="A293">
        <v>249</v>
      </c>
      <c r="B293">
        <v>462</v>
      </c>
      <c r="C293">
        <v>28</v>
      </c>
      <c r="D293">
        <v>5</v>
      </c>
      <c r="E293" s="1">
        <v>45544</v>
      </c>
      <c r="F293">
        <v>10</v>
      </c>
      <c r="G293">
        <v>1652.72</v>
      </c>
      <c r="H293" t="s">
        <v>11</v>
      </c>
      <c r="I293" cm="1">
        <f t="array" ref="I293">_xlfn.IFS(H293="Credit Card",1,H293="PayPal",2,H293="Cash",3,H293="Bank Transfer",4,TRUE,5)</f>
        <v>2</v>
      </c>
    </row>
    <row r="294" spans="1:9" x14ac:dyDescent="0.3">
      <c r="A294">
        <v>250</v>
      </c>
      <c r="B294">
        <v>452</v>
      </c>
      <c r="C294">
        <v>409</v>
      </c>
      <c r="D294">
        <v>4</v>
      </c>
      <c r="E294" s="1">
        <v>45587</v>
      </c>
      <c r="F294">
        <v>11</v>
      </c>
      <c r="G294">
        <v>1600.13</v>
      </c>
      <c r="H294" t="s">
        <v>11</v>
      </c>
      <c r="I294" cm="1">
        <f t="array" ref="I294">_xlfn.IFS(H294="Credit Card",1,H294="PayPal",2,H294="Cash",3,H294="Bank Transfer",4,TRUE,5)</f>
        <v>2</v>
      </c>
    </row>
    <row r="295" spans="1:9" x14ac:dyDescent="0.3">
      <c r="A295">
        <v>251</v>
      </c>
      <c r="B295">
        <v>476</v>
      </c>
      <c r="C295">
        <v>337</v>
      </c>
      <c r="D295">
        <v>3</v>
      </c>
      <c r="E295" s="1">
        <v>45546</v>
      </c>
      <c r="F295">
        <v>4</v>
      </c>
      <c r="G295">
        <v>806.81</v>
      </c>
      <c r="H295" t="s">
        <v>11</v>
      </c>
      <c r="I295" cm="1">
        <f t="array" ref="I295">_xlfn.IFS(H295="Credit Card",1,H295="PayPal",2,H295="Cash",3,H295="Bank Transfer",4,TRUE,5)</f>
        <v>2</v>
      </c>
    </row>
    <row r="296" spans="1:9" x14ac:dyDescent="0.3">
      <c r="A296">
        <v>252</v>
      </c>
      <c r="B296">
        <v>379</v>
      </c>
      <c r="C296">
        <v>586</v>
      </c>
      <c r="D296">
        <v>3</v>
      </c>
      <c r="E296" s="1">
        <v>45320</v>
      </c>
      <c r="F296">
        <v>12</v>
      </c>
      <c r="G296">
        <v>1695.46</v>
      </c>
      <c r="H296" t="s">
        <v>10</v>
      </c>
      <c r="I296" cm="1">
        <f t="array" ref="I296">_xlfn.IFS(H296="Credit Card",1,H296="PayPal",2,H296="Cash",3,H296="Bank Transfer",4,TRUE,5)</f>
        <v>3</v>
      </c>
    </row>
    <row r="297" spans="1:9" x14ac:dyDescent="0.3">
      <c r="A297">
        <v>253</v>
      </c>
      <c r="B297">
        <v>721</v>
      </c>
      <c r="C297">
        <v>407</v>
      </c>
      <c r="D297">
        <v>3</v>
      </c>
      <c r="E297" s="1">
        <v>45293</v>
      </c>
      <c r="F297">
        <v>3</v>
      </c>
      <c r="G297">
        <v>186.01</v>
      </c>
      <c r="H297" t="s">
        <v>9</v>
      </c>
      <c r="I297" cm="1">
        <f t="array" ref="I297">_xlfn.IFS(H297="Credit Card",1,H297="PayPal",2,H297="Cash",3,H297="Bank Transfer",4,TRUE,5)</f>
        <v>1</v>
      </c>
    </row>
    <row r="298" spans="1:9" x14ac:dyDescent="0.3">
      <c r="A298">
        <v>254</v>
      </c>
      <c r="B298">
        <v>173</v>
      </c>
      <c r="C298">
        <v>640</v>
      </c>
      <c r="D298">
        <v>1</v>
      </c>
      <c r="E298" s="1">
        <v>45490</v>
      </c>
      <c r="F298">
        <v>15</v>
      </c>
      <c r="G298">
        <v>1968.09</v>
      </c>
      <c r="H298" t="s">
        <v>8</v>
      </c>
      <c r="I298" cm="1">
        <f t="array" ref="I298">_xlfn.IFS(H298="Credit Card",1,H298="PayPal",2,H298="Cash",3,H298="Bank Transfer",4,TRUE,5)</f>
        <v>4</v>
      </c>
    </row>
    <row r="299" spans="1:9" x14ac:dyDescent="0.3">
      <c r="A299">
        <v>255</v>
      </c>
      <c r="B299">
        <v>80</v>
      </c>
      <c r="C299">
        <v>254</v>
      </c>
      <c r="D299">
        <v>5</v>
      </c>
      <c r="E299" s="1">
        <v>45508</v>
      </c>
      <c r="F299">
        <v>16</v>
      </c>
      <c r="G299">
        <v>1020.45</v>
      </c>
      <c r="H299" t="s">
        <v>11</v>
      </c>
      <c r="I299" cm="1">
        <f t="array" ref="I299">_xlfn.IFS(H299="Credit Card",1,H299="PayPal",2,H299="Cash",3,H299="Bank Transfer",4,TRUE,5)</f>
        <v>2</v>
      </c>
    </row>
    <row r="300" spans="1:9" x14ac:dyDescent="0.3">
      <c r="A300">
        <v>256</v>
      </c>
      <c r="B300">
        <v>796</v>
      </c>
      <c r="C300">
        <v>234</v>
      </c>
      <c r="D300">
        <v>5</v>
      </c>
      <c r="E300" s="1">
        <v>45301</v>
      </c>
      <c r="F300">
        <v>12</v>
      </c>
      <c r="G300">
        <v>369.46</v>
      </c>
      <c r="H300" t="s">
        <v>11</v>
      </c>
      <c r="I300" cm="1">
        <f t="array" ref="I300">_xlfn.IFS(H300="Credit Card",1,H300="PayPal",2,H300="Cash",3,H300="Bank Transfer",4,TRUE,5)</f>
        <v>2</v>
      </c>
    </row>
    <row r="301" spans="1:9" x14ac:dyDescent="0.3">
      <c r="A301">
        <v>257</v>
      </c>
      <c r="B301">
        <v>156</v>
      </c>
      <c r="C301">
        <v>646</v>
      </c>
      <c r="D301">
        <v>1</v>
      </c>
      <c r="E301" s="1">
        <v>45391</v>
      </c>
      <c r="F301">
        <v>1</v>
      </c>
      <c r="G301">
        <v>1576.79</v>
      </c>
      <c r="H301" t="s">
        <v>9</v>
      </c>
      <c r="I301" cm="1">
        <f t="array" ref="I301">_xlfn.IFS(H301="Credit Card",1,H301="PayPal",2,H301="Cash",3,H301="Bank Transfer",4,TRUE,5)</f>
        <v>1</v>
      </c>
    </row>
    <row r="302" spans="1:9" x14ac:dyDescent="0.3">
      <c r="A302">
        <v>258</v>
      </c>
      <c r="B302">
        <v>750</v>
      </c>
      <c r="C302">
        <v>129</v>
      </c>
      <c r="D302">
        <v>3</v>
      </c>
      <c r="E302" s="1">
        <v>45317</v>
      </c>
      <c r="F302">
        <v>6</v>
      </c>
      <c r="G302">
        <v>1266.24</v>
      </c>
      <c r="H302" t="s">
        <v>10</v>
      </c>
      <c r="I302" cm="1">
        <f t="array" ref="I302">_xlfn.IFS(H302="Credit Card",1,H302="PayPal",2,H302="Cash",3,H302="Bank Transfer",4,TRUE,5)</f>
        <v>3</v>
      </c>
    </row>
    <row r="303" spans="1:9" x14ac:dyDescent="0.3">
      <c r="A303">
        <v>259</v>
      </c>
      <c r="B303">
        <v>156</v>
      </c>
      <c r="C303">
        <v>811</v>
      </c>
      <c r="D303">
        <v>3</v>
      </c>
      <c r="E303" s="1">
        <v>45514</v>
      </c>
      <c r="F303">
        <v>2</v>
      </c>
      <c r="G303">
        <v>1384.28</v>
      </c>
      <c r="H303" t="s">
        <v>10</v>
      </c>
      <c r="I303" cm="1">
        <f t="array" ref="I303">_xlfn.IFS(H303="Credit Card",1,H303="PayPal",2,H303="Cash",3,H303="Bank Transfer",4,TRUE,5)</f>
        <v>3</v>
      </c>
    </row>
    <row r="304" spans="1:9" x14ac:dyDescent="0.3">
      <c r="A304">
        <v>260</v>
      </c>
      <c r="B304">
        <v>502</v>
      </c>
      <c r="C304">
        <v>192</v>
      </c>
      <c r="D304">
        <v>3</v>
      </c>
      <c r="E304" s="1">
        <v>45485</v>
      </c>
      <c r="F304">
        <v>3</v>
      </c>
      <c r="G304">
        <v>445.36</v>
      </c>
      <c r="H304" t="s">
        <v>8</v>
      </c>
      <c r="I304" cm="1">
        <f t="array" ref="I304">_xlfn.IFS(H304="Credit Card",1,H304="PayPal",2,H304="Cash",3,H304="Bank Transfer",4,TRUE,5)</f>
        <v>4</v>
      </c>
    </row>
    <row r="305" spans="1:9" x14ac:dyDescent="0.3">
      <c r="A305">
        <v>261</v>
      </c>
      <c r="B305">
        <v>79</v>
      </c>
      <c r="C305">
        <v>14</v>
      </c>
      <c r="D305">
        <v>2</v>
      </c>
      <c r="E305" s="1">
        <v>45507</v>
      </c>
      <c r="F305">
        <v>19</v>
      </c>
      <c r="G305">
        <v>1417.56</v>
      </c>
      <c r="H305" t="s">
        <v>9</v>
      </c>
      <c r="I305" cm="1">
        <f t="array" ref="I305">_xlfn.IFS(H305="Credit Card",1,H305="PayPal",2,H305="Cash",3,H305="Bank Transfer",4,TRUE,5)</f>
        <v>1</v>
      </c>
    </row>
    <row r="306" spans="1:9" x14ac:dyDescent="0.3">
      <c r="A306">
        <v>262</v>
      </c>
      <c r="B306">
        <v>920</v>
      </c>
      <c r="C306">
        <v>87</v>
      </c>
      <c r="D306">
        <v>2</v>
      </c>
      <c r="E306" s="1">
        <v>45443</v>
      </c>
      <c r="F306">
        <v>17</v>
      </c>
      <c r="G306">
        <v>1001.74</v>
      </c>
      <c r="H306" t="s">
        <v>10</v>
      </c>
      <c r="I306" cm="1">
        <f t="array" ref="I306">_xlfn.IFS(H306="Credit Card",1,H306="PayPal",2,H306="Cash",3,H306="Bank Transfer",4,TRUE,5)</f>
        <v>3</v>
      </c>
    </row>
    <row r="307" spans="1:9" x14ac:dyDescent="0.3">
      <c r="A307">
        <v>263</v>
      </c>
      <c r="B307">
        <v>191</v>
      </c>
      <c r="C307">
        <v>452</v>
      </c>
      <c r="D307">
        <v>2</v>
      </c>
      <c r="E307" s="1">
        <v>45580</v>
      </c>
      <c r="F307">
        <v>3</v>
      </c>
      <c r="G307">
        <v>1750.9</v>
      </c>
      <c r="H307" t="s">
        <v>8</v>
      </c>
      <c r="I307" cm="1">
        <f t="array" ref="I307">_xlfn.IFS(H307="Credit Card",1,H307="PayPal",2,H307="Cash",3,H307="Bank Transfer",4,TRUE,5)</f>
        <v>4</v>
      </c>
    </row>
    <row r="308" spans="1:9" x14ac:dyDescent="0.3">
      <c r="A308">
        <v>264</v>
      </c>
      <c r="B308">
        <v>468</v>
      </c>
      <c r="C308">
        <v>26</v>
      </c>
      <c r="D308">
        <v>5</v>
      </c>
      <c r="E308" s="1">
        <v>45351</v>
      </c>
      <c r="F308">
        <v>5</v>
      </c>
      <c r="G308">
        <v>410.95</v>
      </c>
      <c r="H308" t="s">
        <v>11</v>
      </c>
      <c r="I308" cm="1">
        <f t="array" ref="I308">_xlfn.IFS(H308="Credit Card",1,H308="PayPal",2,H308="Cash",3,H308="Bank Transfer",4,TRUE,5)</f>
        <v>2</v>
      </c>
    </row>
    <row r="309" spans="1:9" x14ac:dyDescent="0.3">
      <c r="A309">
        <v>265</v>
      </c>
      <c r="B309">
        <v>480</v>
      </c>
      <c r="C309">
        <v>245</v>
      </c>
      <c r="D309">
        <v>1</v>
      </c>
      <c r="E309" s="1">
        <v>45566</v>
      </c>
      <c r="F309">
        <v>20</v>
      </c>
      <c r="G309">
        <v>1124.47</v>
      </c>
      <c r="H309" t="s">
        <v>11</v>
      </c>
      <c r="I309" cm="1">
        <f t="array" ref="I309">_xlfn.IFS(H309="Credit Card",1,H309="PayPal",2,H309="Cash",3,H309="Bank Transfer",4,TRUE,5)</f>
        <v>2</v>
      </c>
    </row>
    <row r="310" spans="1:9" x14ac:dyDescent="0.3">
      <c r="A310">
        <v>266</v>
      </c>
      <c r="B310">
        <v>899</v>
      </c>
      <c r="C310">
        <v>121</v>
      </c>
      <c r="D310">
        <v>5</v>
      </c>
      <c r="E310" s="1">
        <v>45546</v>
      </c>
      <c r="F310">
        <v>9</v>
      </c>
      <c r="G310">
        <v>364.72</v>
      </c>
      <c r="H310" t="s">
        <v>9</v>
      </c>
      <c r="I310" cm="1">
        <f t="array" ref="I310">_xlfn.IFS(H310="Credit Card",1,H310="PayPal",2,H310="Cash",3,H310="Bank Transfer",4,TRUE,5)</f>
        <v>1</v>
      </c>
    </row>
    <row r="311" spans="1:9" x14ac:dyDescent="0.3">
      <c r="A311">
        <v>267</v>
      </c>
      <c r="B311">
        <v>610</v>
      </c>
      <c r="C311">
        <v>564</v>
      </c>
      <c r="D311">
        <v>3</v>
      </c>
      <c r="E311" s="1">
        <v>45482</v>
      </c>
      <c r="F311">
        <v>12</v>
      </c>
      <c r="G311">
        <v>766.1</v>
      </c>
      <c r="H311" t="s">
        <v>9</v>
      </c>
      <c r="I311" cm="1">
        <f t="array" ref="I311">_xlfn.IFS(H311="Credit Card",1,H311="PayPal",2,H311="Cash",3,H311="Bank Transfer",4,TRUE,5)</f>
        <v>1</v>
      </c>
    </row>
    <row r="312" spans="1:9" x14ac:dyDescent="0.3">
      <c r="A312">
        <v>268</v>
      </c>
      <c r="B312">
        <v>274</v>
      </c>
      <c r="C312">
        <v>370</v>
      </c>
      <c r="D312">
        <v>1</v>
      </c>
      <c r="E312" s="1">
        <v>45590</v>
      </c>
      <c r="F312">
        <v>5</v>
      </c>
      <c r="G312">
        <v>27.05</v>
      </c>
      <c r="H312" t="s">
        <v>9</v>
      </c>
      <c r="I312" cm="1">
        <f t="array" ref="I312">_xlfn.IFS(H312="Credit Card",1,H312="PayPal",2,H312="Cash",3,H312="Bank Transfer",4,TRUE,5)</f>
        <v>1</v>
      </c>
    </row>
    <row r="313" spans="1:9" x14ac:dyDescent="0.3">
      <c r="A313">
        <v>269</v>
      </c>
      <c r="B313">
        <v>286</v>
      </c>
      <c r="C313">
        <v>394</v>
      </c>
      <c r="D313">
        <v>1</v>
      </c>
      <c r="E313" s="1">
        <v>45536</v>
      </c>
      <c r="F313">
        <v>11</v>
      </c>
      <c r="G313">
        <v>27.29</v>
      </c>
      <c r="H313" t="s">
        <v>9</v>
      </c>
      <c r="I313" cm="1">
        <f t="array" ref="I313">_xlfn.IFS(H313="Credit Card",1,H313="PayPal",2,H313="Cash",3,H313="Bank Transfer",4,TRUE,5)</f>
        <v>1</v>
      </c>
    </row>
    <row r="314" spans="1:9" x14ac:dyDescent="0.3">
      <c r="A314">
        <v>270</v>
      </c>
      <c r="B314">
        <v>120</v>
      </c>
      <c r="C314">
        <v>596</v>
      </c>
      <c r="D314">
        <v>5</v>
      </c>
      <c r="E314" s="1">
        <v>45356</v>
      </c>
      <c r="F314">
        <v>5</v>
      </c>
      <c r="G314">
        <v>1631.46</v>
      </c>
      <c r="H314" t="s">
        <v>8</v>
      </c>
      <c r="I314" cm="1">
        <f t="array" ref="I314">_xlfn.IFS(H314="Credit Card",1,H314="PayPal",2,H314="Cash",3,H314="Bank Transfer",4,TRUE,5)</f>
        <v>4</v>
      </c>
    </row>
    <row r="315" spans="1:9" x14ac:dyDescent="0.3">
      <c r="A315">
        <v>271</v>
      </c>
      <c r="B315">
        <v>335</v>
      </c>
      <c r="C315">
        <v>158</v>
      </c>
      <c r="D315">
        <v>2</v>
      </c>
      <c r="E315" s="1">
        <v>45619</v>
      </c>
      <c r="F315">
        <v>12</v>
      </c>
      <c r="G315">
        <v>610.48</v>
      </c>
      <c r="H315" t="s">
        <v>9</v>
      </c>
      <c r="I315" cm="1">
        <f t="array" ref="I315">_xlfn.IFS(H315="Credit Card",1,H315="PayPal",2,H315="Cash",3,H315="Bank Transfer",4,TRUE,5)</f>
        <v>1</v>
      </c>
    </row>
    <row r="316" spans="1:9" x14ac:dyDescent="0.3">
      <c r="A316">
        <v>272</v>
      </c>
      <c r="B316">
        <v>420</v>
      </c>
      <c r="C316">
        <v>236</v>
      </c>
      <c r="D316">
        <v>1</v>
      </c>
      <c r="E316" s="1">
        <v>45499</v>
      </c>
      <c r="F316">
        <v>8</v>
      </c>
      <c r="G316">
        <v>1039.5</v>
      </c>
      <c r="H316" t="s">
        <v>8</v>
      </c>
      <c r="I316" cm="1">
        <f t="array" ref="I316">_xlfn.IFS(H316="Credit Card",1,H316="PayPal",2,H316="Cash",3,H316="Bank Transfer",4,TRUE,5)</f>
        <v>4</v>
      </c>
    </row>
    <row r="317" spans="1:9" x14ac:dyDescent="0.3">
      <c r="A317">
        <v>273</v>
      </c>
      <c r="B317">
        <v>105</v>
      </c>
      <c r="C317">
        <v>673</v>
      </c>
      <c r="D317">
        <v>5</v>
      </c>
      <c r="E317" s="1">
        <v>45557</v>
      </c>
      <c r="F317">
        <v>6</v>
      </c>
      <c r="G317">
        <v>1434.58</v>
      </c>
      <c r="H317" t="s">
        <v>9</v>
      </c>
      <c r="I317" cm="1">
        <f t="array" ref="I317">_xlfn.IFS(H317="Credit Card",1,H317="PayPal",2,H317="Cash",3,H317="Bank Transfer",4,TRUE,5)</f>
        <v>1</v>
      </c>
    </row>
    <row r="318" spans="1:9" x14ac:dyDescent="0.3">
      <c r="A318">
        <v>274</v>
      </c>
      <c r="B318">
        <v>541</v>
      </c>
      <c r="C318">
        <v>597</v>
      </c>
      <c r="D318">
        <v>1</v>
      </c>
      <c r="E318" s="1">
        <v>45422</v>
      </c>
      <c r="F318">
        <v>20</v>
      </c>
      <c r="G318">
        <v>1868.51</v>
      </c>
      <c r="H318" t="s">
        <v>11</v>
      </c>
      <c r="I318" cm="1">
        <f t="array" ref="I318">_xlfn.IFS(H318="Credit Card",1,H318="PayPal",2,H318="Cash",3,H318="Bank Transfer",4,TRUE,5)</f>
        <v>2</v>
      </c>
    </row>
    <row r="319" spans="1:9" x14ac:dyDescent="0.3">
      <c r="A319">
        <v>275</v>
      </c>
      <c r="B319">
        <v>305</v>
      </c>
      <c r="C319">
        <v>686</v>
      </c>
      <c r="D319">
        <v>1</v>
      </c>
      <c r="E319" s="1">
        <v>45516</v>
      </c>
      <c r="F319">
        <v>5</v>
      </c>
      <c r="G319">
        <v>1480.41</v>
      </c>
      <c r="H319" t="s">
        <v>10</v>
      </c>
      <c r="I319" cm="1">
        <f t="array" ref="I319">_xlfn.IFS(H319="Credit Card",1,H319="PayPal",2,H319="Cash",3,H319="Bank Transfer",4,TRUE,5)</f>
        <v>3</v>
      </c>
    </row>
    <row r="320" spans="1:9" x14ac:dyDescent="0.3">
      <c r="A320">
        <v>276</v>
      </c>
      <c r="B320">
        <v>268</v>
      </c>
      <c r="C320">
        <v>29</v>
      </c>
      <c r="D320">
        <v>3</v>
      </c>
      <c r="E320" s="1">
        <v>45432</v>
      </c>
      <c r="F320">
        <v>3</v>
      </c>
      <c r="G320">
        <v>1662.21</v>
      </c>
      <c r="H320" t="s">
        <v>10</v>
      </c>
      <c r="I320" cm="1">
        <f t="array" ref="I320">_xlfn.IFS(H320="Credit Card",1,H320="PayPal",2,H320="Cash",3,H320="Bank Transfer",4,TRUE,5)</f>
        <v>3</v>
      </c>
    </row>
    <row r="321" spans="1:9" x14ac:dyDescent="0.3">
      <c r="A321">
        <v>277</v>
      </c>
      <c r="B321">
        <v>404</v>
      </c>
      <c r="C321">
        <v>535</v>
      </c>
      <c r="D321">
        <v>4</v>
      </c>
      <c r="E321" s="1">
        <v>45444</v>
      </c>
      <c r="F321">
        <v>2</v>
      </c>
      <c r="G321">
        <v>1510.51</v>
      </c>
      <c r="H321" t="s">
        <v>11</v>
      </c>
      <c r="I321" cm="1">
        <f t="array" ref="I321">_xlfn.IFS(H321="Credit Card",1,H321="PayPal",2,H321="Cash",3,H321="Bank Transfer",4,TRUE,5)</f>
        <v>2</v>
      </c>
    </row>
    <row r="322" spans="1:9" x14ac:dyDescent="0.3">
      <c r="A322">
        <v>278</v>
      </c>
      <c r="B322">
        <v>786</v>
      </c>
      <c r="C322">
        <v>713</v>
      </c>
      <c r="D322">
        <v>5</v>
      </c>
      <c r="E322" s="1">
        <v>45593</v>
      </c>
      <c r="F322">
        <v>14</v>
      </c>
      <c r="G322">
        <v>1517.74</v>
      </c>
      <c r="H322" t="s">
        <v>11</v>
      </c>
      <c r="I322" cm="1">
        <f t="array" ref="I322">_xlfn.IFS(H322="Credit Card",1,H322="PayPal",2,H322="Cash",3,H322="Bank Transfer",4,TRUE,5)</f>
        <v>2</v>
      </c>
    </row>
    <row r="323" spans="1:9" x14ac:dyDescent="0.3">
      <c r="A323">
        <v>279</v>
      </c>
      <c r="B323">
        <v>413</v>
      </c>
      <c r="C323">
        <v>990</v>
      </c>
      <c r="D323">
        <v>4</v>
      </c>
      <c r="E323" s="1">
        <v>45625</v>
      </c>
      <c r="F323">
        <v>2</v>
      </c>
      <c r="G323">
        <v>1586.59</v>
      </c>
      <c r="H323" t="s">
        <v>10</v>
      </c>
      <c r="I323" cm="1">
        <f t="array" ref="I323">_xlfn.IFS(H323="Credit Card",1,H323="PayPal",2,H323="Cash",3,H323="Bank Transfer",4,TRUE,5)</f>
        <v>3</v>
      </c>
    </row>
    <row r="324" spans="1:9" x14ac:dyDescent="0.3">
      <c r="A324">
        <v>280</v>
      </c>
      <c r="B324">
        <v>546</v>
      </c>
      <c r="C324">
        <v>11</v>
      </c>
      <c r="D324">
        <v>3</v>
      </c>
      <c r="E324" s="1">
        <v>45401</v>
      </c>
      <c r="F324">
        <v>18</v>
      </c>
      <c r="G324">
        <v>1598.13</v>
      </c>
      <c r="H324" t="s">
        <v>11</v>
      </c>
      <c r="I324" cm="1">
        <f t="array" ref="I324">_xlfn.IFS(H324="Credit Card",1,H324="PayPal",2,H324="Cash",3,H324="Bank Transfer",4,TRUE,5)</f>
        <v>2</v>
      </c>
    </row>
    <row r="325" spans="1:9" x14ac:dyDescent="0.3">
      <c r="A325">
        <v>281</v>
      </c>
      <c r="B325">
        <v>270</v>
      </c>
      <c r="C325">
        <v>350</v>
      </c>
      <c r="D325">
        <v>3</v>
      </c>
      <c r="E325" s="1">
        <v>45485</v>
      </c>
      <c r="F325">
        <v>10</v>
      </c>
      <c r="G325">
        <v>948.38</v>
      </c>
      <c r="H325" t="s">
        <v>10</v>
      </c>
      <c r="I325" cm="1">
        <f t="array" ref="I325">_xlfn.IFS(H325="Credit Card",1,H325="PayPal",2,H325="Cash",3,H325="Bank Transfer",4,TRUE,5)</f>
        <v>3</v>
      </c>
    </row>
    <row r="326" spans="1:9" x14ac:dyDescent="0.3">
      <c r="A326">
        <v>282</v>
      </c>
      <c r="B326">
        <v>291</v>
      </c>
      <c r="C326">
        <v>6</v>
      </c>
      <c r="D326">
        <v>1</v>
      </c>
      <c r="E326" s="1">
        <v>45443</v>
      </c>
      <c r="F326">
        <v>7</v>
      </c>
      <c r="G326">
        <v>185.87</v>
      </c>
      <c r="H326" t="s">
        <v>8</v>
      </c>
      <c r="I326" cm="1">
        <f t="array" ref="I326">_xlfn.IFS(H326="Credit Card",1,H326="PayPal",2,H326="Cash",3,H326="Bank Transfer",4,TRUE,5)</f>
        <v>4</v>
      </c>
    </row>
    <row r="327" spans="1:9" x14ac:dyDescent="0.3">
      <c r="A327">
        <v>283</v>
      </c>
      <c r="B327">
        <v>176</v>
      </c>
      <c r="C327">
        <v>207</v>
      </c>
      <c r="D327">
        <v>1</v>
      </c>
      <c r="E327" s="1">
        <v>45538</v>
      </c>
      <c r="F327">
        <v>8</v>
      </c>
      <c r="G327">
        <v>134.16</v>
      </c>
      <c r="H327" t="s">
        <v>8</v>
      </c>
      <c r="I327" cm="1">
        <f t="array" ref="I327">_xlfn.IFS(H327="Credit Card",1,H327="PayPal",2,H327="Cash",3,H327="Bank Transfer",4,TRUE,5)</f>
        <v>4</v>
      </c>
    </row>
    <row r="328" spans="1:9" x14ac:dyDescent="0.3">
      <c r="A328">
        <v>284</v>
      </c>
      <c r="B328">
        <v>420</v>
      </c>
      <c r="C328">
        <v>164</v>
      </c>
      <c r="D328">
        <v>4</v>
      </c>
      <c r="E328" s="1">
        <v>45581</v>
      </c>
      <c r="F328">
        <v>5</v>
      </c>
      <c r="G328">
        <v>1115.05</v>
      </c>
      <c r="H328" t="s">
        <v>9</v>
      </c>
      <c r="I328" cm="1">
        <f t="array" ref="I328">_xlfn.IFS(H328="Credit Card",1,H328="PayPal",2,H328="Cash",3,H328="Bank Transfer",4,TRUE,5)</f>
        <v>1</v>
      </c>
    </row>
    <row r="329" spans="1:9" x14ac:dyDescent="0.3">
      <c r="A329">
        <v>285</v>
      </c>
      <c r="B329">
        <v>116</v>
      </c>
      <c r="C329">
        <v>85</v>
      </c>
      <c r="D329">
        <v>3</v>
      </c>
      <c r="E329" s="1">
        <v>45612</v>
      </c>
      <c r="F329">
        <v>8</v>
      </c>
      <c r="G329">
        <v>1718.12</v>
      </c>
      <c r="H329" t="s">
        <v>9</v>
      </c>
      <c r="I329" cm="1">
        <f t="array" ref="I329">_xlfn.IFS(H329="Credit Card",1,H329="PayPal",2,H329="Cash",3,H329="Bank Transfer",4,TRUE,5)</f>
        <v>1</v>
      </c>
    </row>
    <row r="330" spans="1:9" x14ac:dyDescent="0.3">
      <c r="A330">
        <v>286</v>
      </c>
      <c r="B330">
        <v>859</v>
      </c>
      <c r="C330">
        <v>929</v>
      </c>
      <c r="D330">
        <v>4</v>
      </c>
      <c r="E330" s="1">
        <v>45348</v>
      </c>
      <c r="F330">
        <v>19</v>
      </c>
      <c r="G330">
        <v>1726.3</v>
      </c>
      <c r="H330" t="s">
        <v>9</v>
      </c>
      <c r="I330" cm="1">
        <f t="array" ref="I330">_xlfn.IFS(H330="Credit Card",1,H330="PayPal",2,H330="Cash",3,H330="Bank Transfer",4,TRUE,5)</f>
        <v>1</v>
      </c>
    </row>
    <row r="331" spans="1:9" x14ac:dyDescent="0.3">
      <c r="A331">
        <v>287</v>
      </c>
      <c r="B331">
        <v>206</v>
      </c>
      <c r="C331">
        <v>558</v>
      </c>
      <c r="D331">
        <v>3</v>
      </c>
      <c r="E331" s="1">
        <v>45406</v>
      </c>
      <c r="F331">
        <v>19</v>
      </c>
      <c r="G331">
        <v>1753.23</v>
      </c>
      <c r="H331" t="s">
        <v>8</v>
      </c>
      <c r="I331" cm="1">
        <f t="array" ref="I331">_xlfn.IFS(H331="Credit Card",1,H331="PayPal",2,H331="Cash",3,H331="Bank Transfer",4,TRUE,5)</f>
        <v>4</v>
      </c>
    </row>
    <row r="332" spans="1:9" x14ac:dyDescent="0.3">
      <c r="A332">
        <v>288</v>
      </c>
      <c r="B332">
        <v>947</v>
      </c>
      <c r="C332">
        <v>372</v>
      </c>
      <c r="D332">
        <v>3</v>
      </c>
      <c r="E332" s="1">
        <v>45530</v>
      </c>
      <c r="F332">
        <v>7</v>
      </c>
      <c r="G332">
        <v>394.75</v>
      </c>
      <c r="H332" t="s">
        <v>8</v>
      </c>
      <c r="I332" cm="1">
        <f t="array" ref="I332">_xlfn.IFS(H332="Credit Card",1,H332="PayPal",2,H332="Cash",3,H332="Bank Transfer",4,TRUE,5)</f>
        <v>4</v>
      </c>
    </row>
    <row r="333" spans="1:9" x14ac:dyDescent="0.3">
      <c r="A333">
        <v>289</v>
      </c>
      <c r="B333">
        <v>86</v>
      </c>
      <c r="C333">
        <v>738</v>
      </c>
      <c r="D333">
        <v>4</v>
      </c>
      <c r="E333" s="1">
        <v>45338</v>
      </c>
      <c r="F333">
        <v>1</v>
      </c>
      <c r="G333">
        <v>1531.66</v>
      </c>
      <c r="H333" t="s">
        <v>11</v>
      </c>
      <c r="I333" cm="1">
        <f t="array" ref="I333">_xlfn.IFS(H333="Credit Card",1,H333="PayPal",2,H333="Cash",3,H333="Bank Transfer",4,TRUE,5)</f>
        <v>2</v>
      </c>
    </row>
    <row r="334" spans="1:9" x14ac:dyDescent="0.3">
      <c r="A334">
        <v>290</v>
      </c>
      <c r="B334">
        <v>380</v>
      </c>
      <c r="C334">
        <v>82</v>
      </c>
      <c r="D334">
        <v>4</v>
      </c>
      <c r="E334" s="1">
        <v>45601</v>
      </c>
      <c r="F334">
        <v>2</v>
      </c>
      <c r="G334">
        <v>1453.99</v>
      </c>
      <c r="H334" t="s">
        <v>11</v>
      </c>
      <c r="I334" cm="1">
        <f t="array" ref="I334">_xlfn.IFS(H334="Credit Card",1,H334="PayPal",2,H334="Cash",3,H334="Bank Transfer",4,TRUE,5)</f>
        <v>2</v>
      </c>
    </row>
    <row r="335" spans="1:9" x14ac:dyDescent="0.3">
      <c r="A335">
        <v>291</v>
      </c>
      <c r="B335">
        <v>328</v>
      </c>
      <c r="C335">
        <v>206</v>
      </c>
      <c r="D335">
        <v>4</v>
      </c>
      <c r="E335" s="1">
        <v>45589</v>
      </c>
      <c r="F335">
        <v>18</v>
      </c>
      <c r="G335">
        <v>227.81</v>
      </c>
      <c r="H335" t="s">
        <v>10</v>
      </c>
      <c r="I335" cm="1">
        <f t="array" ref="I335">_xlfn.IFS(H335="Credit Card",1,H335="PayPal",2,H335="Cash",3,H335="Bank Transfer",4,TRUE,5)</f>
        <v>3</v>
      </c>
    </row>
    <row r="336" spans="1:9" x14ac:dyDescent="0.3">
      <c r="A336">
        <v>292</v>
      </c>
      <c r="B336">
        <v>142</v>
      </c>
      <c r="C336">
        <v>876</v>
      </c>
      <c r="D336">
        <v>2</v>
      </c>
      <c r="E336" s="1">
        <v>45330</v>
      </c>
      <c r="F336">
        <v>1</v>
      </c>
      <c r="G336">
        <v>1896.51</v>
      </c>
      <c r="H336" t="s">
        <v>11</v>
      </c>
      <c r="I336" cm="1">
        <f t="array" ref="I336">_xlfn.IFS(H336="Credit Card",1,H336="PayPal",2,H336="Cash",3,H336="Bank Transfer",4,TRUE,5)</f>
        <v>2</v>
      </c>
    </row>
    <row r="337" spans="1:9" x14ac:dyDescent="0.3">
      <c r="A337">
        <v>293</v>
      </c>
      <c r="B337">
        <v>929</v>
      </c>
      <c r="C337">
        <v>429</v>
      </c>
      <c r="D337">
        <v>2</v>
      </c>
      <c r="E337" s="1">
        <v>45571</v>
      </c>
      <c r="F337">
        <v>20</v>
      </c>
      <c r="G337">
        <v>1805.29</v>
      </c>
      <c r="H337" t="s">
        <v>9</v>
      </c>
      <c r="I337" cm="1">
        <f t="array" ref="I337">_xlfn.IFS(H337="Credit Card",1,H337="PayPal",2,H337="Cash",3,H337="Bank Transfer",4,TRUE,5)</f>
        <v>1</v>
      </c>
    </row>
    <row r="338" spans="1:9" x14ac:dyDescent="0.3">
      <c r="A338">
        <v>294</v>
      </c>
      <c r="B338">
        <v>815</v>
      </c>
      <c r="C338">
        <v>945</v>
      </c>
      <c r="D338">
        <v>5</v>
      </c>
      <c r="E338" s="1">
        <v>45482</v>
      </c>
      <c r="F338">
        <v>17</v>
      </c>
      <c r="G338">
        <v>177.44</v>
      </c>
      <c r="H338" t="s">
        <v>10</v>
      </c>
      <c r="I338" cm="1">
        <f t="array" ref="I338">_xlfn.IFS(H338="Credit Card",1,H338="PayPal",2,H338="Cash",3,H338="Bank Transfer",4,TRUE,5)</f>
        <v>3</v>
      </c>
    </row>
    <row r="339" spans="1:9" x14ac:dyDescent="0.3">
      <c r="A339">
        <v>295</v>
      </c>
      <c r="B339">
        <v>533</v>
      </c>
      <c r="C339">
        <v>634</v>
      </c>
      <c r="D339">
        <v>2</v>
      </c>
      <c r="E339" s="1">
        <v>45393</v>
      </c>
      <c r="F339">
        <v>9</v>
      </c>
      <c r="G339">
        <v>949.67</v>
      </c>
      <c r="H339" t="s">
        <v>10</v>
      </c>
      <c r="I339" cm="1">
        <f t="array" ref="I339">_xlfn.IFS(H339="Credit Card",1,H339="PayPal",2,H339="Cash",3,H339="Bank Transfer",4,TRUE,5)</f>
        <v>3</v>
      </c>
    </row>
    <row r="340" spans="1:9" x14ac:dyDescent="0.3">
      <c r="A340">
        <v>296</v>
      </c>
      <c r="B340">
        <v>116</v>
      </c>
      <c r="C340">
        <v>885</v>
      </c>
      <c r="D340">
        <v>4</v>
      </c>
      <c r="E340" s="1">
        <v>45496</v>
      </c>
      <c r="F340">
        <v>5</v>
      </c>
      <c r="G340">
        <v>143.37</v>
      </c>
      <c r="H340" t="s">
        <v>10</v>
      </c>
      <c r="I340" cm="1">
        <f t="array" ref="I340">_xlfn.IFS(H340="Credit Card",1,H340="PayPal",2,H340="Cash",3,H340="Bank Transfer",4,TRUE,5)</f>
        <v>3</v>
      </c>
    </row>
    <row r="341" spans="1:9" x14ac:dyDescent="0.3">
      <c r="A341">
        <v>297</v>
      </c>
      <c r="B341">
        <v>14</v>
      </c>
      <c r="C341">
        <v>986</v>
      </c>
      <c r="D341">
        <v>4</v>
      </c>
      <c r="E341" s="1">
        <v>45469</v>
      </c>
      <c r="F341">
        <v>12</v>
      </c>
      <c r="G341">
        <v>453.99</v>
      </c>
      <c r="H341" t="s">
        <v>11</v>
      </c>
      <c r="I341" cm="1">
        <f t="array" ref="I341">_xlfn.IFS(H341="Credit Card",1,H341="PayPal",2,H341="Cash",3,H341="Bank Transfer",4,TRUE,5)</f>
        <v>2</v>
      </c>
    </row>
    <row r="342" spans="1:9" x14ac:dyDescent="0.3">
      <c r="A342">
        <v>298</v>
      </c>
      <c r="B342">
        <v>989</v>
      </c>
      <c r="C342">
        <v>875</v>
      </c>
      <c r="D342">
        <v>1</v>
      </c>
      <c r="E342" s="1">
        <v>45627</v>
      </c>
      <c r="F342">
        <v>19</v>
      </c>
      <c r="G342">
        <v>1276.48</v>
      </c>
      <c r="H342" t="s">
        <v>8</v>
      </c>
      <c r="I342" cm="1">
        <f t="array" ref="I342">_xlfn.IFS(H342="Credit Card",1,H342="PayPal",2,H342="Cash",3,H342="Bank Transfer",4,TRUE,5)</f>
        <v>4</v>
      </c>
    </row>
    <row r="343" spans="1:9" x14ac:dyDescent="0.3">
      <c r="A343">
        <v>299</v>
      </c>
      <c r="B343">
        <v>406</v>
      </c>
      <c r="C343">
        <v>519</v>
      </c>
      <c r="D343">
        <v>5</v>
      </c>
      <c r="E343" s="1">
        <v>45362</v>
      </c>
      <c r="F343">
        <v>6</v>
      </c>
      <c r="G343">
        <v>511.47</v>
      </c>
      <c r="H343" t="s">
        <v>11</v>
      </c>
      <c r="I343" cm="1">
        <f t="array" ref="I343">_xlfn.IFS(H343="Credit Card",1,H343="PayPal",2,H343="Cash",3,H343="Bank Transfer",4,TRUE,5)</f>
        <v>2</v>
      </c>
    </row>
    <row r="344" spans="1:9" x14ac:dyDescent="0.3">
      <c r="A344">
        <v>300</v>
      </c>
      <c r="B344">
        <v>877</v>
      </c>
      <c r="C344">
        <v>385</v>
      </c>
      <c r="D344">
        <v>1</v>
      </c>
      <c r="E344" s="1">
        <v>45595</v>
      </c>
      <c r="F344">
        <v>15</v>
      </c>
      <c r="G344">
        <v>236.71</v>
      </c>
      <c r="H344" t="s">
        <v>8</v>
      </c>
      <c r="I344" cm="1">
        <f t="array" ref="I344">_xlfn.IFS(H344="Credit Card",1,H344="PayPal",2,H344="Cash",3,H344="Bank Transfer",4,TRUE,5)</f>
        <v>4</v>
      </c>
    </row>
    <row r="345" spans="1:9" x14ac:dyDescent="0.3">
      <c r="A345">
        <v>301</v>
      </c>
      <c r="B345">
        <v>988</v>
      </c>
      <c r="C345">
        <v>490</v>
      </c>
      <c r="D345">
        <v>4</v>
      </c>
      <c r="E345" s="1">
        <v>45357</v>
      </c>
      <c r="F345">
        <v>19</v>
      </c>
      <c r="G345">
        <v>859.73</v>
      </c>
      <c r="H345" t="s">
        <v>11</v>
      </c>
      <c r="I345" cm="1">
        <f t="array" ref="I345">_xlfn.IFS(H345="Credit Card",1,H345="PayPal",2,H345="Cash",3,H345="Bank Transfer",4,TRUE,5)</f>
        <v>2</v>
      </c>
    </row>
    <row r="346" spans="1:9" x14ac:dyDescent="0.3">
      <c r="A346">
        <v>302</v>
      </c>
      <c r="B346">
        <v>525</v>
      </c>
      <c r="C346">
        <v>572</v>
      </c>
      <c r="D346">
        <v>4</v>
      </c>
      <c r="E346" s="1">
        <v>45532</v>
      </c>
      <c r="F346">
        <v>9</v>
      </c>
      <c r="G346">
        <v>302.01</v>
      </c>
      <c r="H346" t="s">
        <v>11</v>
      </c>
      <c r="I346" cm="1">
        <f t="array" ref="I346">_xlfn.IFS(H346="Credit Card",1,H346="PayPal",2,H346="Cash",3,H346="Bank Transfer",4,TRUE,5)</f>
        <v>2</v>
      </c>
    </row>
    <row r="347" spans="1:9" x14ac:dyDescent="0.3">
      <c r="A347">
        <v>303</v>
      </c>
      <c r="B347">
        <v>371</v>
      </c>
      <c r="C347">
        <v>744</v>
      </c>
      <c r="D347">
        <v>2</v>
      </c>
      <c r="E347" s="1">
        <v>45416</v>
      </c>
      <c r="F347">
        <v>12</v>
      </c>
      <c r="G347">
        <v>900.51</v>
      </c>
      <c r="H347" t="s">
        <v>11</v>
      </c>
      <c r="I347" cm="1">
        <f t="array" ref="I347">_xlfn.IFS(H347="Credit Card",1,H347="PayPal",2,H347="Cash",3,H347="Bank Transfer",4,TRUE,5)</f>
        <v>2</v>
      </c>
    </row>
    <row r="348" spans="1:9" x14ac:dyDescent="0.3">
      <c r="A348">
        <v>304</v>
      </c>
      <c r="B348">
        <v>902</v>
      </c>
      <c r="C348">
        <v>444</v>
      </c>
      <c r="D348">
        <v>3</v>
      </c>
      <c r="E348" s="1">
        <v>45508</v>
      </c>
      <c r="F348">
        <v>20</v>
      </c>
      <c r="G348">
        <v>1267.6600000000001</v>
      </c>
      <c r="H348" t="s">
        <v>11</v>
      </c>
      <c r="I348" cm="1">
        <f t="array" ref="I348">_xlfn.IFS(H348="Credit Card",1,H348="PayPal",2,H348="Cash",3,H348="Bank Transfer",4,TRUE,5)</f>
        <v>2</v>
      </c>
    </row>
    <row r="349" spans="1:9" x14ac:dyDescent="0.3">
      <c r="A349">
        <v>305</v>
      </c>
      <c r="B349">
        <v>207</v>
      </c>
      <c r="C349">
        <v>596</v>
      </c>
      <c r="D349">
        <v>3</v>
      </c>
      <c r="E349" s="1">
        <v>45566</v>
      </c>
      <c r="F349">
        <v>17</v>
      </c>
      <c r="G349">
        <v>1090.68</v>
      </c>
      <c r="H349" t="s">
        <v>11</v>
      </c>
      <c r="I349" cm="1">
        <f t="array" ref="I349">_xlfn.IFS(H349="Credit Card",1,H349="PayPal",2,H349="Cash",3,H349="Bank Transfer",4,TRUE,5)</f>
        <v>2</v>
      </c>
    </row>
    <row r="350" spans="1:9" x14ac:dyDescent="0.3">
      <c r="A350">
        <v>306</v>
      </c>
      <c r="B350">
        <v>399</v>
      </c>
      <c r="C350">
        <v>261</v>
      </c>
      <c r="D350">
        <v>1</v>
      </c>
      <c r="E350" s="1">
        <v>45336</v>
      </c>
      <c r="F350">
        <v>7</v>
      </c>
      <c r="G350">
        <v>192.26</v>
      </c>
      <c r="H350" t="s">
        <v>9</v>
      </c>
      <c r="I350" cm="1">
        <f t="array" ref="I350">_xlfn.IFS(H350="Credit Card",1,H350="PayPal",2,H350="Cash",3,H350="Bank Transfer",4,TRUE,5)</f>
        <v>1</v>
      </c>
    </row>
    <row r="351" spans="1:9" x14ac:dyDescent="0.3">
      <c r="A351">
        <v>307</v>
      </c>
      <c r="B351">
        <v>849</v>
      </c>
      <c r="C351">
        <v>327</v>
      </c>
      <c r="D351">
        <v>1</v>
      </c>
      <c r="E351" s="1">
        <v>45304</v>
      </c>
      <c r="F351">
        <v>4</v>
      </c>
      <c r="G351">
        <v>1293.51</v>
      </c>
      <c r="H351" t="s">
        <v>9</v>
      </c>
      <c r="I351" cm="1">
        <f t="array" ref="I351">_xlfn.IFS(H351="Credit Card",1,H351="PayPal",2,H351="Cash",3,H351="Bank Transfer",4,TRUE,5)</f>
        <v>1</v>
      </c>
    </row>
    <row r="352" spans="1:9" x14ac:dyDescent="0.3">
      <c r="A352">
        <v>308</v>
      </c>
      <c r="B352">
        <v>97</v>
      </c>
      <c r="C352">
        <v>155</v>
      </c>
      <c r="D352">
        <v>4</v>
      </c>
      <c r="E352" s="1">
        <v>45439</v>
      </c>
      <c r="F352">
        <v>9</v>
      </c>
      <c r="G352">
        <v>463.53</v>
      </c>
      <c r="H352" t="s">
        <v>9</v>
      </c>
      <c r="I352" cm="1">
        <f t="array" ref="I352">_xlfn.IFS(H352="Credit Card",1,H352="PayPal",2,H352="Cash",3,H352="Bank Transfer",4,TRUE,5)</f>
        <v>1</v>
      </c>
    </row>
    <row r="353" spans="1:9" x14ac:dyDescent="0.3">
      <c r="A353">
        <v>309</v>
      </c>
      <c r="B353">
        <v>985</v>
      </c>
      <c r="C353">
        <v>971</v>
      </c>
      <c r="D353">
        <v>2</v>
      </c>
      <c r="E353" s="1">
        <v>45478</v>
      </c>
      <c r="F353">
        <v>6</v>
      </c>
      <c r="G353">
        <v>480.44</v>
      </c>
      <c r="H353" t="s">
        <v>9</v>
      </c>
      <c r="I353" cm="1">
        <f t="array" ref="I353">_xlfn.IFS(H353="Credit Card",1,H353="PayPal",2,H353="Cash",3,H353="Bank Transfer",4,TRUE,5)</f>
        <v>1</v>
      </c>
    </row>
    <row r="354" spans="1:9" x14ac:dyDescent="0.3">
      <c r="A354">
        <v>310</v>
      </c>
      <c r="B354">
        <v>319</v>
      </c>
      <c r="C354">
        <v>368</v>
      </c>
      <c r="D354">
        <v>1</v>
      </c>
      <c r="E354" s="1">
        <v>45383</v>
      </c>
      <c r="F354">
        <v>8</v>
      </c>
      <c r="G354">
        <v>29.61</v>
      </c>
      <c r="H354" t="s">
        <v>11</v>
      </c>
      <c r="I354" cm="1">
        <f t="array" ref="I354">_xlfn.IFS(H354="Credit Card",1,H354="PayPal",2,H354="Cash",3,H354="Bank Transfer",4,TRUE,5)</f>
        <v>2</v>
      </c>
    </row>
    <row r="355" spans="1:9" x14ac:dyDescent="0.3">
      <c r="A355">
        <v>311</v>
      </c>
      <c r="B355">
        <v>741</v>
      </c>
      <c r="C355">
        <v>849</v>
      </c>
      <c r="D355">
        <v>2</v>
      </c>
      <c r="E355" s="1">
        <v>45478</v>
      </c>
      <c r="F355">
        <v>1</v>
      </c>
      <c r="G355">
        <v>24.67</v>
      </c>
      <c r="H355" t="s">
        <v>8</v>
      </c>
      <c r="I355" cm="1">
        <f t="array" ref="I355">_xlfn.IFS(H355="Credit Card",1,H355="PayPal",2,H355="Cash",3,H355="Bank Transfer",4,TRUE,5)</f>
        <v>4</v>
      </c>
    </row>
    <row r="356" spans="1:9" x14ac:dyDescent="0.3">
      <c r="A356">
        <v>312</v>
      </c>
      <c r="B356">
        <v>246</v>
      </c>
      <c r="C356">
        <v>803</v>
      </c>
      <c r="D356">
        <v>1</v>
      </c>
      <c r="E356" s="1">
        <v>45395</v>
      </c>
      <c r="F356">
        <v>18</v>
      </c>
      <c r="G356">
        <v>1642.83</v>
      </c>
      <c r="H356" t="s">
        <v>8</v>
      </c>
      <c r="I356" cm="1">
        <f t="array" ref="I356">_xlfn.IFS(H356="Credit Card",1,H356="PayPal",2,H356="Cash",3,H356="Bank Transfer",4,TRUE,5)</f>
        <v>4</v>
      </c>
    </row>
    <row r="357" spans="1:9" x14ac:dyDescent="0.3">
      <c r="A357">
        <v>314</v>
      </c>
      <c r="B357">
        <v>352</v>
      </c>
      <c r="C357">
        <v>448</v>
      </c>
      <c r="D357">
        <v>5</v>
      </c>
      <c r="E357" s="1">
        <v>45371</v>
      </c>
      <c r="F357">
        <v>10</v>
      </c>
      <c r="G357">
        <v>1145.69</v>
      </c>
      <c r="H357" t="s">
        <v>8</v>
      </c>
      <c r="I357" cm="1">
        <f t="array" ref="I357">_xlfn.IFS(H357="Credit Card",1,H357="PayPal",2,H357="Cash",3,H357="Bank Transfer",4,TRUE,5)</f>
        <v>4</v>
      </c>
    </row>
    <row r="358" spans="1:9" x14ac:dyDescent="0.3">
      <c r="A358">
        <v>315</v>
      </c>
      <c r="B358">
        <v>627</v>
      </c>
      <c r="C358">
        <v>892</v>
      </c>
      <c r="D358">
        <v>1</v>
      </c>
      <c r="E358" s="1">
        <v>45449</v>
      </c>
      <c r="F358">
        <v>2</v>
      </c>
      <c r="G358">
        <v>1544.23</v>
      </c>
      <c r="H358" t="s">
        <v>10</v>
      </c>
      <c r="I358" cm="1">
        <f t="array" ref="I358">_xlfn.IFS(H358="Credit Card",1,H358="PayPal",2,H358="Cash",3,H358="Bank Transfer",4,TRUE,5)</f>
        <v>3</v>
      </c>
    </row>
    <row r="359" spans="1:9" x14ac:dyDescent="0.3">
      <c r="A359">
        <v>316</v>
      </c>
      <c r="B359">
        <v>892</v>
      </c>
      <c r="C359">
        <v>823</v>
      </c>
      <c r="D359">
        <v>3</v>
      </c>
      <c r="E359" s="1">
        <v>45305</v>
      </c>
      <c r="F359">
        <v>12</v>
      </c>
      <c r="G359">
        <v>1394.98</v>
      </c>
      <c r="H359" t="s">
        <v>11</v>
      </c>
      <c r="I359" cm="1">
        <f t="array" ref="I359">_xlfn.IFS(H359="Credit Card",1,H359="PayPal",2,H359="Cash",3,H359="Bank Transfer",4,TRUE,5)</f>
        <v>2</v>
      </c>
    </row>
    <row r="360" spans="1:9" x14ac:dyDescent="0.3">
      <c r="A360">
        <v>318</v>
      </c>
      <c r="B360">
        <v>154</v>
      </c>
      <c r="C360">
        <v>765</v>
      </c>
      <c r="D360">
        <v>1</v>
      </c>
      <c r="E360" s="1">
        <v>45429</v>
      </c>
      <c r="F360">
        <v>15</v>
      </c>
      <c r="G360">
        <v>783.52</v>
      </c>
      <c r="H360" t="s">
        <v>10</v>
      </c>
      <c r="I360" cm="1">
        <f t="array" ref="I360">_xlfn.IFS(H360="Credit Card",1,H360="PayPal",2,H360="Cash",3,H360="Bank Transfer",4,TRUE,5)</f>
        <v>3</v>
      </c>
    </row>
    <row r="361" spans="1:9" x14ac:dyDescent="0.3">
      <c r="A361">
        <v>319</v>
      </c>
      <c r="B361">
        <v>644</v>
      </c>
      <c r="C361">
        <v>449</v>
      </c>
      <c r="D361">
        <v>3</v>
      </c>
      <c r="E361" s="1">
        <v>45486</v>
      </c>
      <c r="F361">
        <v>19</v>
      </c>
      <c r="G361">
        <v>1662</v>
      </c>
      <c r="H361" t="s">
        <v>9</v>
      </c>
      <c r="I361" cm="1">
        <f t="array" ref="I361">_xlfn.IFS(H361="Credit Card",1,H361="PayPal",2,H361="Cash",3,H361="Bank Transfer",4,TRUE,5)</f>
        <v>1</v>
      </c>
    </row>
    <row r="362" spans="1:9" x14ac:dyDescent="0.3">
      <c r="A362">
        <v>320</v>
      </c>
      <c r="B362">
        <v>840</v>
      </c>
      <c r="C362">
        <v>6</v>
      </c>
      <c r="D362">
        <v>3</v>
      </c>
      <c r="E362" s="1">
        <v>45466</v>
      </c>
      <c r="F362">
        <v>10</v>
      </c>
      <c r="G362">
        <v>1337.54</v>
      </c>
      <c r="H362" t="s">
        <v>11</v>
      </c>
      <c r="I362" cm="1">
        <f t="array" ref="I362">_xlfn.IFS(H362="Credit Card",1,H362="PayPal",2,H362="Cash",3,H362="Bank Transfer",4,TRUE,5)</f>
        <v>2</v>
      </c>
    </row>
    <row r="363" spans="1:9" x14ac:dyDescent="0.3">
      <c r="A363">
        <v>321</v>
      </c>
      <c r="B363">
        <v>558</v>
      </c>
      <c r="C363">
        <v>124</v>
      </c>
      <c r="D363">
        <v>3</v>
      </c>
      <c r="E363" s="1">
        <v>45425</v>
      </c>
      <c r="F363">
        <v>3</v>
      </c>
      <c r="G363">
        <v>348.43</v>
      </c>
      <c r="H363" t="s">
        <v>10</v>
      </c>
      <c r="I363" cm="1">
        <f t="array" ref="I363">_xlfn.IFS(H363="Credit Card",1,H363="PayPal",2,H363="Cash",3,H363="Bank Transfer",4,TRUE,5)</f>
        <v>3</v>
      </c>
    </row>
    <row r="364" spans="1:9" x14ac:dyDescent="0.3">
      <c r="A364">
        <v>322</v>
      </c>
      <c r="B364">
        <v>908</v>
      </c>
      <c r="C364">
        <v>980</v>
      </c>
      <c r="D364">
        <v>2</v>
      </c>
      <c r="E364" s="1">
        <v>45388</v>
      </c>
      <c r="F364">
        <v>8</v>
      </c>
      <c r="G364">
        <v>260.98</v>
      </c>
      <c r="H364" t="s">
        <v>8</v>
      </c>
      <c r="I364" cm="1">
        <f t="array" ref="I364">_xlfn.IFS(H364="Credit Card",1,H364="PayPal",2,H364="Cash",3,H364="Bank Transfer",4,TRUE,5)</f>
        <v>4</v>
      </c>
    </row>
    <row r="365" spans="1:9" x14ac:dyDescent="0.3">
      <c r="A365">
        <v>323</v>
      </c>
      <c r="B365">
        <v>649</v>
      </c>
      <c r="C365">
        <v>867</v>
      </c>
      <c r="D365">
        <v>5</v>
      </c>
      <c r="E365" s="1">
        <v>45453</v>
      </c>
      <c r="F365">
        <v>4</v>
      </c>
      <c r="G365">
        <v>199.18</v>
      </c>
      <c r="H365" t="s">
        <v>8</v>
      </c>
      <c r="I365" cm="1">
        <f t="array" ref="I365">_xlfn.IFS(H365="Credit Card",1,H365="PayPal",2,H365="Cash",3,H365="Bank Transfer",4,TRUE,5)</f>
        <v>4</v>
      </c>
    </row>
    <row r="366" spans="1:9" x14ac:dyDescent="0.3">
      <c r="A366">
        <v>324</v>
      </c>
      <c r="B366">
        <v>400</v>
      </c>
      <c r="C366">
        <v>452</v>
      </c>
      <c r="D366">
        <v>1</v>
      </c>
      <c r="E366" s="1">
        <v>45384</v>
      </c>
      <c r="F366">
        <v>4</v>
      </c>
      <c r="G366">
        <v>1468.84</v>
      </c>
      <c r="H366" t="s">
        <v>11</v>
      </c>
      <c r="I366" cm="1">
        <f t="array" ref="I366">_xlfn.IFS(H366="Credit Card",1,H366="PayPal",2,H366="Cash",3,H366="Bank Transfer",4,TRUE,5)</f>
        <v>2</v>
      </c>
    </row>
    <row r="367" spans="1:9" x14ac:dyDescent="0.3">
      <c r="A367">
        <v>325</v>
      </c>
      <c r="B367">
        <v>908</v>
      </c>
      <c r="C367">
        <v>742</v>
      </c>
      <c r="D367">
        <v>4</v>
      </c>
      <c r="E367" s="1">
        <v>45366</v>
      </c>
      <c r="F367">
        <v>10</v>
      </c>
      <c r="G367">
        <v>1723.76</v>
      </c>
      <c r="H367" t="s">
        <v>9</v>
      </c>
      <c r="I367" cm="1">
        <f t="array" ref="I367">_xlfn.IFS(H367="Credit Card",1,H367="PayPal",2,H367="Cash",3,H367="Bank Transfer",4,TRUE,5)</f>
        <v>1</v>
      </c>
    </row>
    <row r="368" spans="1:9" x14ac:dyDescent="0.3">
      <c r="A368">
        <v>326</v>
      </c>
      <c r="B368">
        <v>375</v>
      </c>
      <c r="C368">
        <v>877</v>
      </c>
      <c r="D368">
        <v>3</v>
      </c>
      <c r="E368" s="1">
        <v>45442</v>
      </c>
      <c r="F368">
        <v>9</v>
      </c>
      <c r="G368">
        <v>1662.35</v>
      </c>
      <c r="H368" t="s">
        <v>9</v>
      </c>
      <c r="I368" cm="1">
        <f t="array" ref="I368">_xlfn.IFS(H368="Credit Card",1,H368="PayPal",2,H368="Cash",3,H368="Bank Transfer",4,TRUE,5)</f>
        <v>1</v>
      </c>
    </row>
    <row r="369" spans="1:9" x14ac:dyDescent="0.3">
      <c r="A369">
        <v>327</v>
      </c>
      <c r="B369">
        <v>653</v>
      </c>
      <c r="C369">
        <v>829</v>
      </c>
      <c r="D369">
        <v>5</v>
      </c>
      <c r="E369" s="1">
        <v>45300</v>
      </c>
      <c r="F369">
        <v>14</v>
      </c>
      <c r="G369">
        <v>1345.63</v>
      </c>
      <c r="H369" t="s">
        <v>11</v>
      </c>
      <c r="I369" cm="1">
        <f t="array" ref="I369">_xlfn.IFS(H369="Credit Card",1,H369="PayPal",2,H369="Cash",3,H369="Bank Transfer",4,TRUE,5)</f>
        <v>2</v>
      </c>
    </row>
    <row r="370" spans="1:9" x14ac:dyDescent="0.3">
      <c r="A370">
        <v>328</v>
      </c>
      <c r="B370">
        <v>687</v>
      </c>
      <c r="C370">
        <v>45</v>
      </c>
      <c r="D370">
        <v>3</v>
      </c>
      <c r="E370" s="1">
        <v>45321</v>
      </c>
      <c r="F370">
        <v>11</v>
      </c>
      <c r="G370">
        <v>1005.7</v>
      </c>
      <c r="H370" t="s">
        <v>8</v>
      </c>
      <c r="I370" cm="1">
        <f t="array" ref="I370">_xlfn.IFS(H370="Credit Card",1,H370="PayPal",2,H370="Cash",3,H370="Bank Transfer",4,TRUE,5)</f>
        <v>4</v>
      </c>
    </row>
    <row r="371" spans="1:9" x14ac:dyDescent="0.3">
      <c r="A371">
        <v>329</v>
      </c>
      <c r="B371">
        <v>170</v>
      </c>
      <c r="C371">
        <v>649</v>
      </c>
      <c r="D371">
        <v>5</v>
      </c>
      <c r="E371" s="1">
        <v>45442</v>
      </c>
      <c r="F371">
        <v>16</v>
      </c>
      <c r="G371">
        <v>479.56</v>
      </c>
      <c r="H371" t="s">
        <v>10</v>
      </c>
      <c r="I371" cm="1">
        <f t="array" ref="I371">_xlfn.IFS(H371="Credit Card",1,H371="PayPal",2,H371="Cash",3,H371="Bank Transfer",4,TRUE,5)</f>
        <v>3</v>
      </c>
    </row>
    <row r="372" spans="1:9" x14ac:dyDescent="0.3">
      <c r="A372">
        <v>330</v>
      </c>
      <c r="B372">
        <v>669</v>
      </c>
      <c r="C372">
        <v>728</v>
      </c>
      <c r="D372">
        <v>2</v>
      </c>
      <c r="E372" s="1">
        <v>45345</v>
      </c>
      <c r="F372">
        <v>19</v>
      </c>
      <c r="G372">
        <v>939.1</v>
      </c>
      <c r="H372" t="s">
        <v>9</v>
      </c>
      <c r="I372" cm="1">
        <f t="array" ref="I372">_xlfn.IFS(H372="Credit Card",1,H372="PayPal",2,H372="Cash",3,H372="Bank Transfer",4,TRUE,5)</f>
        <v>1</v>
      </c>
    </row>
    <row r="373" spans="1:9" x14ac:dyDescent="0.3">
      <c r="A373">
        <v>331</v>
      </c>
      <c r="B373">
        <v>613</v>
      </c>
      <c r="C373">
        <v>140</v>
      </c>
      <c r="D373">
        <v>2</v>
      </c>
      <c r="E373" s="1">
        <v>45328</v>
      </c>
      <c r="F373">
        <v>1</v>
      </c>
      <c r="G373">
        <v>35.74</v>
      </c>
      <c r="H373" t="s">
        <v>10</v>
      </c>
      <c r="I373" cm="1">
        <f t="array" ref="I373">_xlfn.IFS(H373="Credit Card",1,H373="PayPal",2,H373="Cash",3,H373="Bank Transfer",4,TRUE,5)</f>
        <v>3</v>
      </c>
    </row>
    <row r="374" spans="1:9" x14ac:dyDescent="0.3">
      <c r="A374">
        <v>333</v>
      </c>
      <c r="B374">
        <v>802</v>
      </c>
      <c r="C374">
        <v>617</v>
      </c>
      <c r="D374">
        <v>1</v>
      </c>
      <c r="E374" s="1">
        <v>45617</v>
      </c>
      <c r="F374">
        <v>3</v>
      </c>
      <c r="G374">
        <v>681.32</v>
      </c>
      <c r="H374" t="s">
        <v>8</v>
      </c>
      <c r="I374" cm="1">
        <f t="array" ref="I374">_xlfn.IFS(H374="Credit Card",1,H374="PayPal",2,H374="Cash",3,H374="Bank Transfer",4,TRUE,5)</f>
        <v>4</v>
      </c>
    </row>
    <row r="375" spans="1:9" x14ac:dyDescent="0.3">
      <c r="A375">
        <v>334</v>
      </c>
      <c r="B375">
        <v>604</v>
      </c>
      <c r="C375">
        <v>968</v>
      </c>
      <c r="D375">
        <v>5</v>
      </c>
      <c r="E375" s="1">
        <v>45366</v>
      </c>
      <c r="F375">
        <v>2</v>
      </c>
      <c r="G375">
        <v>20.18</v>
      </c>
      <c r="H375" t="s">
        <v>9</v>
      </c>
      <c r="I375" cm="1">
        <f t="array" ref="I375">_xlfn.IFS(H375="Credit Card",1,H375="PayPal",2,H375="Cash",3,H375="Bank Transfer",4,TRUE,5)</f>
        <v>1</v>
      </c>
    </row>
    <row r="376" spans="1:9" x14ac:dyDescent="0.3">
      <c r="A376">
        <v>335</v>
      </c>
      <c r="B376">
        <v>275</v>
      </c>
      <c r="C376">
        <v>847</v>
      </c>
      <c r="D376">
        <v>4</v>
      </c>
      <c r="E376" s="1">
        <v>45349</v>
      </c>
      <c r="F376">
        <v>8</v>
      </c>
      <c r="G376">
        <v>1071.3</v>
      </c>
      <c r="H376" t="s">
        <v>8</v>
      </c>
      <c r="I376" cm="1">
        <f t="array" ref="I376">_xlfn.IFS(H376="Credit Card",1,H376="PayPal",2,H376="Cash",3,H376="Bank Transfer",4,TRUE,5)</f>
        <v>4</v>
      </c>
    </row>
    <row r="377" spans="1:9" x14ac:dyDescent="0.3">
      <c r="A377">
        <v>336</v>
      </c>
      <c r="B377">
        <v>720</v>
      </c>
      <c r="C377">
        <v>76</v>
      </c>
      <c r="D377">
        <v>3</v>
      </c>
      <c r="E377" s="1">
        <v>45539</v>
      </c>
      <c r="F377">
        <v>10</v>
      </c>
      <c r="G377">
        <v>1872.52</v>
      </c>
      <c r="H377" t="s">
        <v>8</v>
      </c>
      <c r="I377" cm="1">
        <f t="array" ref="I377">_xlfn.IFS(H377="Credit Card",1,H377="PayPal",2,H377="Cash",3,H377="Bank Transfer",4,TRUE,5)</f>
        <v>4</v>
      </c>
    </row>
    <row r="378" spans="1:9" x14ac:dyDescent="0.3">
      <c r="A378">
        <v>337</v>
      </c>
      <c r="B378">
        <v>657</v>
      </c>
      <c r="C378">
        <v>343</v>
      </c>
      <c r="D378">
        <v>2</v>
      </c>
      <c r="E378" s="1">
        <v>45455</v>
      </c>
      <c r="F378">
        <v>8</v>
      </c>
      <c r="G378">
        <v>1222.8900000000001</v>
      </c>
      <c r="H378" t="s">
        <v>9</v>
      </c>
      <c r="I378" cm="1">
        <f t="array" ref="I378">_xlfn.IFS(H378="Credit Card",1,H378="PayPal",2,H378="Cash",3,H378="Bank Transfer",4,TRUE,5)</f>
        <v>1</v>
      </c>
    </row>
    <row r="379" spans="1:9" x14ac:dyDescent="0.3">
      <c r="A379">
        <v>338</v>
      </c>
      <c r="B379">
        <v>963</v>
      </c>
      <c r="C379">
        <v>309</v>
      </c>
      <c r="D379">
        <v>4</v>
      </c>
      <c r="E379" s="1">
        <v>45602</v>
      </c>
      <c r="F379">
        <v>13</v>
      </c>
      <c r="G379">
        <v>1869.5</v>
      </c>
      <c r="H379" t="s">
        <v>11</v>
      </c>
      <c r="I379" cm="1">
        <f t="array" ref="I379">_xlfn.IFS(H379="Credit Card",1,H379="PayPal",2,H379="Cash",3,H379="Bank Transfer",4,TRUE,5)</f>
        <v>2</v>
      </c>
    </row>
    <row r="380" spans="1:9" x14ac:dyDescent="0.3">
      <c r="A380">
        <v>339</v>
      </c>
      <c r="B380">
        <v>819</v>
      </c>
      <c r="C380">
        <v>773</v>
      </c>
      <c r="D380">
        <v>4</v>
      </c>
      <c r="E380" s="1">
        <v>45492</v>
      </c>
      <c r="F380">
        <v>4</v>
      </c>
      <c r="G380">
        <v>1759.92</v>
      </c>
      <c r="H380" t="s">
        <v>10</v>
      </c>
      <c r="I380" cm="1">
        <f t="array" ref="I380">_xlfn.IFS(H380="Credit Card",1,H380="PayPal",2,H380="Cash",3,H380="Bank Transfer",4,TRUE,5)</f>
        <v>3</v>
      </c>
    </row>
    <row r="381" spans="1:9" x14ac:dyDescent="0.3">
      <c r="A381">
        <v>340</v>
      </c>
      <c r="B381">
        <v>505</v>
      </c>
      <c r="C381">
        <v>49</v>
      </c>
      <c r="D381">
        <v>1</v>
      </c>
      <c r="E381" s="1">
        <v>45524</v>
      </c>
      <c r="F381">
        <v>14</v>
      </c>
      <c r="G381">
        <v>820.06</v>
      </c>
      <c r="H381" t="s">
        <v>8</v>
      </c>
      <c r="I381" cm="1">
        <f t="array" ref="I381">_xlfn.IFS(H381="Credit Card",1,H381="PayPal",2,H381="Cash",3,H381="Bank Transfer",4,TRUE,5)</f>
        <v>4</v>
      </c>
    </row>
    <row r="382" spans="1:9" x14ac:dyDescent="0.3">
      <c r="A382">
        <v>342</v>
      </c>
      <c r="B382">
        <v>93</v>
      </c>
      <c r="C382">
        <v>973</v>
      </c>
      <c r="D382">
        <v>4</v>
      </c>
      <c r="E382" s="1">
        <v>45416</v>
      </c>
      <c r="F382">
        <v>2</v>
      </c>
      <c r="G382">
        <v>1875.18</v>
      </c>
      <c r="H382" t="s">
        <v>8</v>
      </c>
      <c r="I382" cm="1">
        <f t="array" ref="I382">_xlfn.IFS(H382="Credit Card",1,H382="PayPal",2,H382="Cash",3,H382="Bank Transfer",4,TRUE,5)</f>
        <v>4</v>
      </c>
    </row>
    <row r="383" spans="1:9" x14ac:dyDescent="0.3">
      <c r="A383">
        <v>343</v>
      </c>
      <c r="B383">
        <v>936</v>
      </c>
      <c r="C383">
        <v>52</v>
      </c>
      <c r="D383">
        <v>3</v>
      </c>
      <c r="E383" s="1">
        <v>45538</v>
      </c>
      <c r="F383">
        <v>20</v>
      </c>
      <c r="G383">
        <v>1589.27</v>
      </c>
      <c r="H383" t="s">
        <v>8</v>
      </c>
      <c r="I383" cm="1">
        <f t="array" ref="I383">_xlfn.IFS(H383="Credit Card",1,H383="PayPal",2,H383="Cash",3,H383="Bank Transfer",4,TRUE,5)</f>
        <v>4</v>
      </c>
    </row>
    <row r="384" spans="1:9" x14ac:dyDescent="0.3">
      <c r="A384">
        <v>344</v>
      </c>
      <c r="B384">
        <v>516</v>
      </c>
      <c r="C384">
        <v>758</v>
      </c>
      <c r="D384">
        <v>4</v>
      </c>
      <c r="E384" s="1">
        <v>45505</v>
      </c>
      <c r="F384">
        <v>5</v>
      </c>
      <c r="G384">
        <v>1624.66</v>
      </c>
      <c r="H384" t="s">
        <v>8</v>
      </c>
      <c r="I384" cm="1">
        <f t="array" ref="I384">_xlfn.IFS(H384="Credit Card",1,H384="PayPal",2,H384="Cash",3,H384="Bank Transfer",4,TRUE,5)</f>
        <v>4</v>
      </c>
    </row>
    <row r="385" spans="1:9" x14ac:dyDescent="0.3">
      <c r="A385">
        <v>345</v>
      </c>
      <c r="B385">
        <v>37</v>
      </c>
      <c r="C385">
        <v>82</v>
      </c>
      <c r="D385">
        <v>1</v>
      </c>
      <c r="E385" s="1">
        <v>45425</v>
      </c>
      <c r="F385">
        <v>11</v>
      </c>
      <c r="G385">
        <v>306.62</v>
      </c>
      <c r="H385" t="s">
        <v>10</v>
      </c>
      <c r="I385" cm="1">
        <f t="array" ref="I385">_xlfn.IFS(H385="Credit Card",1,H385="PayPal",2,H385="Cash",3,H385="Bank Transfer",4,TRUE,5)</f>
        <v>3</v>
      </c>
    </row>
    <row r="386" spans="1:9" x14ac:dyDescent="0.3">
      <c r="A386">
        <v>346</v>
      </c>
      <c r="B386">
        <v>953</v>
      </c>
      <c r="C386">
        <v>264</v>
      </c>
      <c r="D386">
        <v>4</v>
      </c>
      <c r="E386" s="1">
        <v>45578</v>
      </c>
      <c r="F386">
        <v>16</v>
      </c>
      <c r="G386">
        <v>417.29</v>
      </c>
      <c r="H386" t="s">
        <v>9</v>
      </c>
      <c r="I386" cm="1">
        <f t="array" ref="I386">_xlfn.IFS(H386="Credit Card",1,H386="PayPal",2,H386="Cash",3,H386="Bank Transfer",4,TRUE,5)</f>
        <v>1</v>
      </c>
    </row>
    <row r="387" spans="1:9" x14ac:dyDescent="0.3">
      <c r="A387">
        <v>347</v>
      </c>
      <c r="B387">
        <v>998</v>
      </c>
      <c r="C387">
        <v>351</v>
      </c>
      <c r="D387">
        <v>2</v>
      </c>
      <c r="E387" s="1">
        <v>45323</v>
      </c>
      <c r="F387">
        <v>10</v>
      </c>
      <c r="G387">
        <v>1717.92</v>
      </c>
      <c r="H387" t="s">
        <v>10</v>
      </c>
      <c r="I387" cm="1">
        <f t="array" ref="I387">_xlfn.IFS(H387="Credit Card",1,H387="PayPal",2,H387="Cash",3,H387="Bank Transfer",4,TRUE,5)</f>
        <v>3</v>
      </c>
    </row>
    <row r="388" spans="1:9" x14ac:dyDescent="0.3">
      <c r="A388">
        <v>348</v>
      </c>
      <c r="B388">
        <v>575</v>
      </c>
      <c r="C388">
        <v>957</v>
      </c>
      <c r="D388">
        <v>3</v>
      </c>
      <c r="E388" s="1">
        <v>45579</v>
      </c>
      <c r="F388">
        <v>17</v>
      </c>
      <c r="G388">
        <v>1542.52</v>
      </c>
      <c r="H388" t="s">
        <v>11</v>
      </c>
      <c r="I388" cm="1">
        <f t="array" ref="I388">_xlfn.IFS(H388="Credit Card",1,H388="PayPal",2,H388="Cash",3,H388="Bank Transfer",4,TRUE,5)</f>
        <v>2</v>
      </c>
    </row>
    <row r="389" spans="1:9" x14ac:dyDescent="0.3">
      <c r="A389">
        <v>349</v>
      </c>
      <c r="B389">
        <v>236</v>
      </c>
      <c r="C389">
        <v>289</v>
      </c>
      <c r="D389">
        <v>1</v>
      </c>
      <c r="E389" s="1">
        <v>45310</v>
      </c>
      <c r="F389">
        <v>14</v>
      </c>
      <c r="G389">
        <v>1663.67</v>
      </c>
      <c r="H389" t="s">
        <v>10</v>
      </c>
      <c r="I389" cm="1">
        <f t="array" ref="I389">_xlfn.IFS(H389="Credit Card",1,H389="PayPal",2,H389="Cash",3,H389="Bank Transfer",4,TRUE,5)</f>
        <v>3</v>
      </c>
    </row>
    <row r="390" spans="1:9" x14ac:dyDescent="0.3">
      <c r="A390">
        <v>350</v>
      </c>
      <c r="B390">
        <v>266</v>
      </c>
      <c r="C390">
        <v>244</v>
      </c>
      <c r="D390">
        <v>3</v>
      </c>
      <c r="E390" s="1">
        <v>45304</v>
      </c>
      <c r="F390">
        <v>3</v>
      </c>
      <c r="G390">
        <v>1101.08</v>
      </c>
      <c r="H390" t="s">
        <v>11</v>
      </c>
      <c r="I390" cm="1">
        <f t="array" ref="I390">_xlfn.IFS(H390="Credit Card",1,H390="PayPal",2,H390="Cash",3,H390="Bank Transfer",4,TRUE,5)</f>
        <v>2</v>
      </c>
    </row>
    <row r="391" spans="1:9" x14ac:dyDescent="0.3">
      <c r="A391">
        <v>351</v>
      </c>
      <c r="B391">
        <v>815</v>
      </c>
      <c r="C391">
        <v>728</v>
      </c>
      <c r="D391">
        <v>2</v>
      </c>
      <c r="E391" s="1">
        <v>45526</v>
      </c>
      <c r="F391">
        <v>12</v>
      </c>
      <c r="G391">
        <v>1391.98</v>
      </c>
      <c r="H391" t="s">
        <v>11</v>
      </c>
      <c r="I391" cm="1">
        <f t="array" ref="I391">_xlfn.IFS(H391="Credit Card",1,H391="PayPal",2,H391="Cash",3,H391="Bank Transfer",4,TRUE,5)</f>
        <v>2</v>
      </c>
    </row>
    <row r="392" spans="1:9" x14ac:dyDescent="0.3">
      <c r="A392">
        <v>352</v>
      </c>
      <c r="B392">
        <v>494</v>
      </c>
      <c r="C392">
        <v>622</v>
      </c>
      <c r="D392">
        <v>2</v>
      </c>
      <c r="E392" s="1">
        <v>45549</v>
      </c>
      <c r="F392">
        <v>14</v>
      </c>
      <c r="G392">
        <v>433.01</v>
      </c>
      <c r="H392" t="s">
        <v>8</v>
      </c>
      <c r="I392" cm="1">
        <f t="array" ref="I392">_xlfn.IFS(H392="Credit Card",1,H392="PayPal",2,H392="Cash",3,H392="Bank Transfer",4,TRUE,5)</f>
        <v>4</v>
      </c>
    </row>
    <row r="393" spans="1:9" x14ac:dyDescent="0.3">
      <c r="A393">
        <v>353</v>
      </c>
      <c r="B393">
        <v>764</v>
      </c>
      <c r="C393">
        <v>432</v>
      </c>
      <c r="D393">
        <v>2</v>
      </c>
      <c r="E393" s="1">
        <v>45494</v>
      </c>
      <c r="F393">
        <v>20</v>
      </c>
      <c r="G393">
        <v>741.36</v>
      </c>
      <c r="H393" t="s">
        <v>9</v>
      </c>
      <c r="I393" cm="1">
        <f t="array" ref="I393">_xlfn.IFS(H393="Credit Card",1,H393="PayPal",2,H393="Cash",3,H393="Bank Transfer",4,TRUE,5)</f>
        <v>1</v>
      </c>
    </row>
    <row r="394" spans="1:9" x14ac:dyDescent="0.3">
      <c r="A394">
        <v>354</v>
      </c>
      <c r="B394">
        <v>259</v>
      </c>
      <c r="C394">
        <v>232</v>
      </c>
      <c r="D394">
        <v>5</v>
      </c>
      <c r="E394" s="1">
        <v>45519</v>
      </c>
      <c r="F394">
        <v>3</v>
      </c>
      <c r="G394">
        <v>889.49</v>
      </c>
      <c r="H394" t="s">
        <v>11</v>
      </c>
      <c r="I394" cm="1">
        <f t="array" ref="I394">_xlfn.IFS(H394="Credit Card",1,H394="PayPal",2,H394="Cash",3,H394="Bank Transfer",4,TRUE,5)</f>
        <v>2</v>
      </c>
    </row>
    <row r="395" spans="1:9" x14ac:dyDescent="0.3">
      <c r="A395">
        <v>355</v>
      </c>
      <c r="B395">
        <v>186</v>
      </c>
      <c r="C395">
        <v>292</v>
      </c>
      <c r="D395">
        <v>3</v>
      </c>
      <c r="E395" s="1">
        <v>45624</v>
      </c>
      <c r="F395">
        <v>14</v>
      </c>
      <c r="G395">
        <v>1283.1199999999999</v>
      </c>
      <c r="H395" t="s">
        <v>11</v>
      </c>
      <c r="I395" cm="1">
        <f t="array" ref="I395">_xlfn.IFS(H395="Credit Card",1,H395="PayPal",2,H395="Cash",3,H395="Bank Transfer",4,TRUE,5)</f>
        <v>2</v>
      </c>
    </row>
    <row r="396" spans="1:9" x14ac:dyDescent="0.3">
      <c r="A396">
        <v>356</v>
      </c>
      <c r="B396">
        <v>878</v>
      </c>
      <c r="C396">
        <v>314</v>
      </c>
      <c r="D396">
        <v>3</v>
      </c>
      <c r="E396" s="1">
        <v>45487</v>
      </c>
      <c r="F396">
        <v>18</v>
      </c>
      <c r="G396">
        <v>496.21</v>
      </c>
      <c r="H396" t="s">
        <v>11</v>
      </c>
      <c r="I396" cm="1">
        <f t="array" ref="I396">_xlfn.IFS(H396="Credit Card",1,H396="PayPal",2,H396="Cash",3,H396="Bank Transfer",4,TRUE,5)</f>
        <v>2</v>
      </c>
    </row>
    <row r="397" spans="1:9" x14ac:dyDescent="0.3">
      <c r="A397">
        <v>358</v>
      </c>
      <c r="B397">
        <v>13</v>
      </c>
      <c r="C397">
        <v>285</v>
      </c>
      <c r="D397">
        <v>1</v>
      </c>
      <c r="E397" s="1">
        <v>45438</v>
      </c>
      <c r="F397">
        <v>17</v>
      </c>
      <c r="G397">
        <v>723.78</v>
      </c>
      <c r="H397" t="s">
        <v>11</v>
      </c>
      <c r="I397" cm="1">
        <f t="array" ref="I397">_xlfn.IFS(H397="Credit Card",1,H397="PayPal",2,H397="Cash",3,H397="Bank Transfer",4,TRUE,5)</f>
        <v>2</v>
      </c>
    </row>
    <row r="398" spans="1:9" x14ac:dyDescent="0.3">
      <c r="A398">
        <v>359</v>
      </c>
      <c r="B398">
        <v>478</v>
      </c>
      <c r="C398">
        <v>32</v>
      </c>
      <c r="D398">
        <v>5</v>
      </c>
      <c r="E398" s="1">
        <v>45494</v>
      </c>
      <c r="F398">
        <v>14</v>
      </c>
      <c r="G398">
        <v>227.44</v>
      </c>
      <c r="H398" t="s">
        <v>10</v>
      </c>
      <c r="I398" cm="1">
        <f t="array" ref="I398">_xlfn.IFS(H398="Credit Card",1,H398="PayPal",2,H398="Cash",3,H398="Bank Transfer",4,TRUE,5)</f>
        <v>3</v>
      </c>
    </row>
    <row r="399" spans="1:9" x14ac:dyDescent="0.3">
      <c r="A399">
        <v>360</v>
      </c>
      <c r="B399">
        <v>937</v>
      </c>
      <c r="C399">
        <v>609</v>
      </c>
      <c r="D399">
        <v>4</v>
      </c>
      <c r="E399" s="1">
        <v>45372</v>
      </c>
      <c r="F399">
        <v>2</v>
      </c>
      <c r="G399">
        <v>1108.76</v>
      </c>
      <c r="H399" t="s">
        <v>10</v>
      </c>
      <c r="I399" cm="1">
        <f t="array" ref="I399">_xlfn.IFS(H399="Credit Card",1,H399="PayPal",2,H399="Cash",3,H399="Bank Transfer",4,TRUE,5)</f>
        <v>3</v>
      </c>
    </row>
    <row r="400" spans="1:9" x14ac:dyDescent="0.3">
      <c r="A400">
        <v>362</v>
      </c>
      <c r="B400">
        <v>190</v>
      </c>
      <c r="C400">
        <v>684</v>
      </c>
      <c r="D400">
        <v>2</v>
      </c>
      <c r="E400" s="1">
        <v>45405</v>
      </c>
      <c r="F400">
        <v>10</v>
      </c>
      <c r="G400">
        <v>358.59</v>
      </c>
      <c r="H400" t="s">
        <v>11</v>
      </c>
      <c r="I400" cm="1">
        <f t="array" ref="I400">_xlfn.IFS(H400="Credit Card",1,H400="PayPal",2,H400="Cash",3,H400="Bank Transfer",4,TRUE,5)</f>
        <v>2</v>
      </c>
    </row>
    <row r="401" spans="1:9" x14ac:dyDescent="0.3">
      <c r="A401">
        <v>363</v>
      </c>
      <c r="B401">
        <v>742</v>
      </c>
      <c r="C401">
        <v>735</v>
      </c>
      <c r="D401">
        <v>4</v>
      </c>
      <c r="E401" s="1">
        <v>45629</v>
      </c>
      <c r="F401">
        <v>2</v>
      </c>
      <c r="G401">
        <v>462.9</v>
      </c>
      <c r="H401" t="s">
        <v>11</v>
      </c>
      <c r="I401" cm="1">
        <f t="array" ref="I401">_xlfn.IFS(H401="Credit Card",1,H401="PayPal",2,H401="Cash",3,H401="Bank Transfer",4,TRUE,5)</f>
        <v>2</v>
      </c>
    </row>
    <row r="402" spans="1:9" x14ac:dyDescent="0.3">
      <c r="A402">
        <v>364</v>
      </c>
      <c r="B402">
        <v>343</v>
      </c>
      <c r="C402">
        <v>732</v>
      </c>
      <c r="D402">
        <v>3</v>
      </c>
      <c r="E402" s="1">
        <v>45468</v>
      </c>
      <c r="F402">
        <v>6</v>
      </c>
      <c r="G402">
        <v>1875.39</v>
      </c>
      <c r="H402" t="s">
        <v>11</v>
      </c>
      <c r="I402" cm="1">
        <f t="array" ref="I402">_xlfn.IFS(H402="Credit Card",1,H402="PayPal",2,H402="Cash",3,H402="Bank Transfer",4,TRUE,5)</f>
        <v>2</v>
      </c>
    </row>
    <row r="403" spans="1:9" x14ac:dyDescent="0.3">
      <c r="A403">
        <v>365</v>
      </c>
      <c r="B403">
        <v>431</v>
      </c>
      <c r="C403">
        <v>118</v>
      </c>
      <c r="D403">
        <v>4</v>
      </c>
      <c r="E403" s="1">
        <v>45447</v>
      </c>
      <c r="F403">
        <v>11</v>
      </c>
      <c r="G403">
        <v>1269.67</v>
      </c>
      <c r="H403" t="s">
        <v>8</v>
      </c>
      <c r="I403" cm="1">
        <f t="array" ref="I403">_xlfn.IFS(H403="Credit Card",1,H403="PayPal",2,H403="Cash",3,H403="Bank Transfer",4,TRUE,5)</f>
        <v>4</v>
      </c>
    </row>
    <row r="404" spans="1:9" x14ac:dyDescent="0.3">
      <c r="A404">
        <v>366</v>
      </c>
      <c r="B404">
        <v>625</v>
      </c>
      <c r="C404">
        <v>637</v>
      </c>
      <c r="D404">
        <v>1</v>
      </c>
      <c r="E404" s="1">
        <v>45609</v>
      </c>
      <c r="F404">
        <v>19</v>
      </c>
      <c r="G404">
        <v>744.14</v>
      </c>
      <c r="H404" t="s">
        <v>8</v>
      </c>
      <c r="I404" cm="1">
        <f t="array" ref="I404">_xlfn.IFS(H404="Credit Card",1,H404="PayPal",2,H404="Cash",3,H404="Bank Transfer",4,TRUE,5)</f>
        <v>4</v>
      </c>
    </row>
    <row r="405" spans="1:9" x14ac:dyDescent="0.3">
      <c r="A405">
        <v>367</v>
      </c>
      <c r="B405">
        <v>369</v>
      </c>
      <c r="C405">
        <v>960</v>
      </c>
      <c r="D405">
        <v>4</v>
      </c>
      <c r="E405" s="1">
        <v>45556</v>
      </c>
      <c r="F405">
        <v>18</v>
      </c>
      <c r="G405">
        <v>56.72</v>
      </c>
      <c r="H405" t="s">
        <v>11</v>
      </c>
      <c r="I405" cm="1">
        <f t="array" ref="I405">_xlfn.IFS(H405="Credit Card",1,H405="PayPal",2,H405="Cash",3,H405="Bank Transfer",4,TRUE,5)</f>
        <v>2</v>
      </c>
    </row>
    <row r="406" spans="1:9" x14ac:dyDescent="0.3">
      <c r="A406">
        <v>368</v>
      </c>
      <c r="B406">
        <v>69</v>
      </c>
      <c r="C406">
        <v>529</v>
      </c>
      <c r="D406">
        <v>3</v>
      </c>
      <c r="E406" s="1">
        <v>45310</v>
      </c>
      <c r="F406">
        <v>7</v>
      </c>
      <c r="G406">
        <v>29.4</v>
      </c>
      <c r="H406" t="s">
        <v>10</v>
      </c>
      <c r="I406" cm="1">
        <f t="array" ref="I406">_xlfn.IFS(H406="Credit Card",1,H406="PayPal",2,H406="Cash",3,H406="Bank Transfer",4,TRUE,5)</f>
        <v>3</v>
      </c>
    </row>
    <row r="407" spans="1:9" x14ac:dyDescent="0.3">
      <c r="A407">
        <v>370</v>
      </c>
      <c r="B407">
        <v>350</v>
      </c>
      <c r="C407">
        <v>76</v>
      </c>
      <c r="D407">
        <v>3</v>
      </c>
      <c r="E407" s="1">
        <v>45573</v>
      </c>
      <c r="F407">
        <v>15</v>
      </c>
      <c r="G407">
        <v>738.52</v>
      </c>
      <c r="H407" t="s">
        <v>9</v>
      </c>
      <c r="I407" cm="1">
        <f t="array" ref="I407">_xlfn.IFS(H407="Credit Card",1,H407="PayPal",2,H407="Cash",3,H407="Bank Transfer",4,TRUE,5)</f>
        <v>1</v>
      </c>
    </row>
    <row r="408" spans="1:9" x14ac:dyDescent="0.3">
      <c r="A408">
        <v>371</v>
      </c>
      <c r="B408">
        <v>995</v>
      </c>
      <c r="C408">
        <v>966</v>
      </c>
      <c r="D408">
        <v>5</v>
      </c>
      <c r="E408" s="1">
        <v>45309</v>
      </c>
      <c r="F408">
        <v>10</v>
      </c>
      <c r="G408">
        <v>1265.57</v>
      </c>
      <c r="H408" t="s">
        <v>11</v>
      </c>
      <c r="I408" cm="1">
        <f t="array" ref="I408">_xlfn.IFS(H408="Credit Card",1,H408="PayPal",2,H408="Cash",3,H408="Bank Transfer",4,TRUE,5)</f>
        <v>2</v>
      </c>
    </row>
    <row r="409" spans="1:9" x14ac:dyDescent="0.3">
      <c r="A409">
        <v>372</v>
      </c>
      <c r="B409">
        <v>627</v>
      </c>
      <c r="C409">
        <v>793</v>
      </c>
      <c r="D409">
        <v>3</v>
      </c>
      <c r="E409" s="1">
        <v>45506</v>
      </c>
      <c r="F409">
        <v>17</v>
      </c>
      <c r="G409">
        <v>1759.64</v>
      </c>
      <c r="H409" t="s">
        <v>10</v>
      </c>
      <c r="I409" cm="1">
        <f t="array" ref="I409">_xlfn.IFS(H409="Credit Card",1,H409="PayPal",2,H409="Cash",3,H409="Bank Transfer",4,TRUE,5)</f>
        <v>3</v>
      </c>
    </row>
    <row r="410" spans="1:9" x14ac:dyDescent="0.3">
      <c r="A410">
        <v>373</v>
      </c>
      <c r="B410">
        <v>164</v>
      </c>
      <c r="C410">
        <v>739</v>
      </c>
      <c r="D410">
        <v>3</v>
      </c>
      <c r="E410" s="1">
        <v>45363</v>
      </c>
      <c r="F410">
        <v>9</v>
      </c>
      <c r="G410">
        <v>192.47</v>
      </c>
      <c r="H410" t="s">
        <v>8</v>
      </c>
      <c r="I410" cm="1">
        <f t="array" ref="I410">_xlfn.IFS(H410="Credit Card",1,H410="PayPal",2,H410="Cash",3,H410="Bank Transfer",4,TRUE,5)</f>
        <v>4</v>
      </c>
    </row>
    <row r="411" spans="1:9" x14ac:dyDescent="0.3">
      <c r="A411">
        <v>374</v>
      </c>
      <c r="B411">
        <v>566</v>
      </c>
      <c r="C411">
        <v>681</v>
      </c>
      <c r="D411">
        <v>1</v>
      </c>
      <c r="E411" s="1">
        <v>45421</v>
      </c>
      <c r="F411">
        <v>8</v>
      </c>
      <c r="G411">
        <v>1669.28</v>
      </c>
      <c r="H411" t="s">
        <v>9</v>
      </c>
      <c r="I411" cm="1">
        <f t="array" ref="I411">_xlfn.IFS(H411="Credit Card",1,H411="PayPal",2,H411="Cash",3,H411="Bank Transfer",4,TRUE,5)</f>
        <v>1</v>
      </c>
    </row>
    <row r="412" spans="1:9" x14ac:dyDescent="0.3">
      <c r="A412">
        <v>375</v>
      </c>
      <c r="B412">
        <v>381</v>
      </c>
      <c r="C412">
        <v>298</v>
      </c>
      <c r="D412">
        <v>5</v>
      </c>
      <c r="E412" s="1">
        <v>45408</v>
      </c>
      <c r="F412">
        <v>11</v>
      </c>
      <c r="G412">
        <v>651.22</v>
      </c>
      <c r="H412" t="s">
        <v>9</v>
      </c>
      <c r="I412" cm="1">
        <f t="array" ref="I412">_xlfn.IFS(H412="Credit Card",1,H412="PayPal",2,H412="Cash",3,H412="Bank Transfer",4,TRUE,5)</f>
        <v>1</v>
      </c>
    </row>
    <row r="413" spans="1:9" x14ac:dyDescent="0.3">
      <c r="A413">
        <v>376</v>
      </c>
      <c r="B413">
        <v>95</v>
      </c>
      <c r="C413">
        <v>919</v>
      </c>
      <c r="D413">
        <v>5</v>
      </c>
      <c r="E413" s="1">
        <v>45468</v>
      </c>
      <c r="F413">
        <v>18</v>
      </c>
      <c r="G413">
        <v>1137.8499999999999</v>
      </c>
      <c r="H413" t="s">
        <v>9</v>
      </c>
      <c r="I413" cm="1">
        <f t="array" ref="I413">_xlfn.IFS(H413="Credit Card",1,H413="PayPal",2,H413="Cash",3,H413="Bank Transfer",4,TRUE,5)</f>
        <v>1</v>
      </c>
    </row>
    <row r="414" spans="1:9" x14ac:dyDescent="0.3">
      <c r="A414">
        <v>377</v>
      </c>
      <c r="B414">
        <v>495</v>
      </c>
      <c r="C414">
        <v>87</v>
      </c>
      <c r="D414">
        <v>5</v>
      </c>
      <c r="E414" s="1">
        <v>45430</v>
      </c>
      <c r="F414">
        <v>9</v>
      </c>
      <c r="G414">
        <v>1991.58</v>
      </c>
      <c r="H414" t="s">
        <v>10</v>
      </c>
      <c r="I414" cm="1">
        <f t="array" ref="I414">_xlfn.IFS(H414="Credit Card",1,H414="PayPal",2,H414="Cash",3,H414="Bank Transfer",4,TRUE,5)</f>
        <v>3</v>
      </c>
    </row>
    <row r="415" spans="1:9" x14ac:dyDescent="0.3">
      <c r="A415">
        <v>378</v>
      </c>
      <c r="B415">
        <v>198</v>
      </c>
      <c r="C415">
        <v>724</v>
      </c>
      <c r="D415">
        <v>1</v>
      </c>
      <c r="E415" s="1">
        <v>45571</v>
      </c>
      <c r="F415">
        <v>17</v>
      </c>
      <c r="G415">
        <v>207.83</v>
      </c>
      <c r="H415" t="s">
        <v>9</v>
      </c>
      <c r="I415" cm="1">
        <f t="array" ref="I415">_xlfn.IFS(H415="Credit Card",1,H415="PayPal",2,H415="Cash",3,H415="Bank Transfer",4,TRUE,5)</f>
        <v>1</v>
      </c>
    </row>
    <row r="416" spans="1:9" x14ac:dyDescent="0.3">
      <c r="A416">
        <v>379</v>
      </c>
      <c r="B416">
        <v>718</v>
      </c>
      <c r="C416">
        <v>579</v>
      </c>
      <c r="D416">
        <v>3</v>
      </c>
      <c r="E416" s="1">
        <v>45554</v>
      </c>
      <c r="F416">
        <v>15</v>
      </c>
      <c r="G416">
        <v>1224.06</v>
      </c>
      <c r="H416" t="s">
        <v>10</v>
      </c>
      <c r="I416" cm="1">
        <f t="array" ref="I416">_xlfn.IFS(H416="Credit Card",1,H416="PayPal",2,H416="Cash",3,H416="Bank Transfer",4,TRUE,5)</f>
        <v>3</v>
      </c>
    </row>
    <row r="417" spans="1:9" x14ac:dyDescent="0.3">
      <c r="A417">
        <v>380</v>
      </c>
      <c r="B417">
        <v>540</v>
      </c>
      <c r="C417">
        <v>312</v>
      </c>
      <c r="D417">
        <v>2</v>
      </c>
      <c r="E417" s="1">
        <v>45576</v>
      </c>
      <c r="F417">
        <v>1</v>
      </c>
      <c r="G417">
        <v>1925.12</v>
      </c>
      <c r="H417" t="s">
        <v>9</v>
      </c>
      <c r="I417" cm="1">
        <f t="array" ref="I417">_xlfn.IFS(H417="Credit Card",1,H417="PayPal",2,H417="Cash",3,H417="Bank Transfer",4,TRUE,5)</f>
        <v>1</v>
      </c>
    </row>
    <row r="418" spans="1:9" x14ac:dyDescent="0.3">
      <c r="A418">
        <v>381</v>
      </c>
      <c r="B418">
        <v>491</v>
      </c>
      <c r="C418">
        <v>937</v>
      </c>
      <c r="D418">
        <v>4</v>
      </c>
      <c r="E418" s="1">
        <v>45575</v>
      </c>
      <c r="F418">
        <v>11</v>
      </c>
      <c r="G418">
        <v>1333.61</v>
      </c>
      <c r="H418" t="s">
        <v>8</v>
      </c>
      <c r="I418" cm="1">
        <f t="array" ref="I418">_xlfn.IFS(H418="Credit Card",1,H418="PayPal",2,H418="Cash",3,H418="Bank Transfer",4,TRUE,5)</f>
        <v>4</v>
      </c>
    </row>
    <row r="419" spans="1:9" x14ac:dyDescent="0.3">
      <c r="A419">
        <v>382</v>
      </c>
      <c r="B419">
        <v>91</v>
      </c>
      <c r="C419">
        <v>261</v>
      </c>
      <c r="D419">
        <v>3</v>
      </c>
      <c r="E419" s="1">
        <v>45419</v>
      </c>
      <c r="F419">
        <v>11</v>
      </c>
      <c r="G419">
        <v>1980.47</v>
      </c>
      <c r="H419" t="s">
        <v>10</v>
      </c>
      <c r="I419" cm="1">
        <f t="array" ref="I419">_xlfn.IFS(H419="Credit Card",1,H419="PayPal",2,H419="Cash",3,H419="Bank Transfer",4,TRUE,5)</f>
        <v>3</v>
      </c>
    </row>
    <row r="420" spans="1:9" x14ac:dyDescent="0.3">
      <c r="A420">
        <v>383</v>
      </c>
      <c r="B420">
        <v>577</v>
      </c>
      <c r="C420">
        <v>253</v>
      </c>
      <c r="D420">
        <v>5</v>
      </c>
      <c r="E420" s="1">
        <v>45536</v>
      </c>
      <c r="F420">
        <v>5</v>
      </c>
      <c r="G420">
        <v>1588.1</v>
      </c>
      <c r="H420" t="s">
        <v>9</v>
      </c>
      <c r="I420" cm="1">
        <f t="array" ref="I420">_xlfn.IFS(H420="Credit Card",1,H420="PayPal",2,H420="Cash",3,H420="Bank Transfer",4,TRUE,5)</f>
        <v>1</v>
      </c>
    </row>
    <row r="421" spans="1:9" x14ac:dyDescent="0.3">
      <c r="A421">
        <v>384</v>
      </c>
      <c r="B421">
        <v>310</v>
      </c>
      <c r="C421">
        <v>635</v>
      </c>
      <c r="D421">
        <v>4</v>
      </c>
      <c r="E421" s="1">
        <v>45535</v>
      </c>
      <c r="F421">
        <v>14</v>
      </c>
      <c r="G421">
        <v>1103.53</v>
      </c>
      <c r="H421" t="s">
        <v>10</v>
      </c>
      <c r="I421" cm="1">
        <f t="array" ref="I421">_xlfn.IFS(H421="Credit Card",1,H421="PayPal",2,H421="Cash",3,H421="Bank Transfer",4,TRUE,5)</f>
        <v>3</v>
      </c>
    </row>
    <row r="422" spans="1:9" x14ac:dyDescent="0.3">
      <c r="A422">
        <v>385</v>
      </c>
      <c r="B422">
        <v>218</v>
      </c>
      <c r="C422">
        <v>684</v>
      </c>
      <c r="D422">
        <v>4</v>
      </c>
      <c r="E422" s="1">
        <v>45417</v>
      </c>
      <c r="F422">
        <v>13</v>
      </c>
      <c r="G422">
        <v>989.7</v>
      </c>
      <c r="H422" t="s">
        <v>8</v>
      </c>
      <c r="I422" cm="1">
        <f t="array" ref="I422">_xlfn.IFS(H422="Credit Card",1,H422="PayPal",2,H422="Cash",3,H422="Bank Transfer",4,TRUE,5)</f>
        <v>4</v>
      </c>
    </row>
    <row r="423" spans="1:9" x14ac:dyDescent="0.3">
      <c r="A423">
        <v>386</v>
      </c>
      <c r="B423">
        <v>79</v>
      </c>
      <c r="C423">
        <v>899</v>
      </c>
      <c r="D423">
        <v>5</v>
      </c>
      <c r="E423" s="1">
        <v>45608</v>
      </c>
      <c r="F423">
        <v>14</v>
      </c>
      <c r="G423">
        <v>1457.57</v>
      </c>
      <c r="H423" t="s">
        <v>8</v>
      </c>
      <c r="I423" cm="1">
        <f t="array" ref="I423">_xlfn.IFS(H423="Credit Card",1,H423="PayPal",2,H423="Cash",3,H423="Bank Transfer",4,TRUE,5)</f>
        <v>4</v>
      </c>
    </row>
    <row r="424" spans="1:9" x14ac:dyDescent="0.3">
      <c r="A424">
        <v>387</v>
      </c>
      <c r="B424">
        <v>394</v>
      </c>
      <c r="C424">
        <v>306</v>
      </c>
      <c r="D424">
        <v>2</v>
      </c>
      <c r="E424" s="1">
        <v>45323</v>
      </c>
      <c r="F424">
        <v>9</v>
      </c>
      <c r="G424">
        <v>1064.23</v>
      </c>
      <c r="H424" t="s">
        <v>11</v>
      </c>
      <c r="I424" cm="1">
        <f t="array" ref="I424">_xlfn.IFS(H424="Credit Card",1,H424="PayPal",2,H424="Cash",3,H424="Bank Transfer",4,TRUE,5)</f>
        <v>2</v>
      </c>
    </row>
    <row r="425" spans="1:9" x14ac:dyDescent="0.3">
      <c r="A425">
        <v>388</v>
      </c>
      <c r="B425">
        <v>505</v>
      </c>
      <c r="C425">
        <v>132</v>
      </c>
      <c r="D425">
        <v>4</v>
      </c>
      <c r="E425" s="1">
        <v>45336</v>
      </c>
      <c r="F425">
        <v>10</v>
      </c>
      <c r="G425">
        <v>435.22</v>
      </c>
      <c r="H425" t="s">
        <v>9</v>
      </c>
      <c r="I425" cm="1">
        <f t="array" ref="I425">_xlfn.IFS(H425="Credit Card",1,H425="PayPal",2,H425="Cash",3,H425="Bank Transfer",4,TRUE,5)</f>
        <v>1</v>
      </c>
    </row>
    <row r="426" spans="1:9" x14ac:dyDescent="0.3">
      <c r="A426">
        <v>389</v>
      </c>
      <c r="B426">
        <v>439</v>
      </c>
      <c r="C426">
        <v>822</v>
      </c>
      <c r="D426">
        <v>3</v>
      </c>
      <c r="E426" s="1">
        <v>45432</v>
      </c>
      <c r="F426">
        <v>6</v>
      </c>
      <c r="G426">
        <v>1121.6300000000001</v>
      </c>
      <c r="H426" t="s">
        <v>11</v>
      </c>
      <c r="I426" cm="1">
        <f t="array" ref="I426">_xlfn.IFS(H426="Credit Card",1,H426="PayPal",2,H426="Cash",3,H426="Bank Transfer",4,TRUE,5)</f>
        <v>2</v>
      </c>
    </row>
    <row r="427" spans="1:9" x14ac:dyDescent="0.3">
      <c r="A427">
        <v>390</v>
      </c>
      <c r="B427">
        <v>605</v>
      </c>
      <c r="C427">
        <v>901</v>
      </c>
      <c r="D427">
        <v>2</v>
      </c>
      <c r="E427" s="1">
        <v>45541</v>
      </c>
      <c r="F427">
        <v>12</v>
      </c>
      <c r="G427">
        <v>1492.39</v>
      </c>
      <c r="H427" t="s">
        <v>8</v>
      </c>
      <c r="I427" cm="1">
        <f t="array" ref="I427">_xlfn.IFS(H427="Credit Card",1,H427="PayPal",2,H427="Cash",3,H427="Bank Transfer",4,TRUE,5)</f>
        <v>4</v>
      </c>
    </row>
    <row r="428" spans="1:9" x14ac:dyDescent="0.3">
      <c r="A428">
        <v>391</v>
      </c>
      <c r="B428">
        <v>276</v>
      </c>
      <c r="C428">
        <v>700</v>
      </c>
      <c r="D428">
        <v>4</v>
      </c>
      <c r="E428" s="1">
        <v>45464</v>
      </c>
      <c r="F428">
        <v>2</v>
      </c>
      <c r="G428">
        <v>1697.24</v>
      </c>
      <c r="H428" t="s">
        <v>9</v>
      </c>
      <c r="I428" cm="1">
        <f t="array" ref="I428">_xlfn.IFS(H428="Credit Card",1,H428="PayPal",2,H428="Cash",3,H428="Bank Transfer",4,TRUE,5)</f>
        <v>1</v>
      </c>
    </row>
    <row r="429" spans="1:9" x14ac:dyDescent="0.3">
      <c r="A429">
        <v>392</v>
      </c>
      <c r="B429">
        <v>508</v>
      </c>
      <c r="C429">
        <v>287</v>
      </c>
      <c r="D429">
        <v>3</v>
      </c>
      <c r="E429" s="1">
        <v>45374</v>
      </c>
      <c r="F429">
        <v>17</v>
      </c>
      <c r="G429">
        <v>1703.43</v>
      </c>
      <c r="H429" t="s">
        <v>9</v>
      </c>
      <c r="I429" cm="1">
        <f t="array" ref="I429">_xlfn.IFS(H429="Credit Card",1,H429="PayPal",2,H429="Cash",3,H429="Bank Transfer",4,TRUE,5)</f>
        <v>1</v>
      </c>
    </row>
    <row r="430" spans="1:9" x14ac:dyDescent="0.3">
      <c r="A430">
        <v>393</v>
      </c>
      <c r="B430">
        <v>20</v>
      </c>
      <c r="C430">
        <v>476</v>
      </c>
      <c r="D430">
        <v>1</v>
      </c>
      <c r="E430" s="1">
        <v>45296</v>
      </c>
      <c r="F430">
        <v>13</v>
      </c>
      <c r="G430">
        <v>105.24</v>
      </c>
      <c r="H430" t="s">
        <v>8</v>
      </c>
      <c r="I430" cm="1">
        <f t="array" ref="I430">_xlfn.IFS(H430="Credit Card",1,H430="PayPal",2,H430="Cash",3,H430="Bank Transfer",4,TRUE,5)</f>
        <v>4</v>
      </c>
    </row>
    <row r="431" spans="1:9" x14ac:dyDescent="0.3">
      <c r="A431">
        <v>394</v>
      </c>
      <c r="B431">
        <v>581</v>
      </c>
      <c r="C431">
        <v>426</v>
      </c>
      <c r="D431">
        <v>3</v>
      </c>
      <c r="E431" s="1">
        <v>45390</v>
      </c>
      <c r="F431">
        <v>6</v>
      </c>
      <c r="G431">
        <v>1748.85</v>
      </c>
      <c r="H431" t="s">
        <v>10</v>
      </c>
      <c r="I431" cm="1">
        <f t="array" ref="I431">_xlfn.IFS(H431="Credit Card",1,H431="PayPal",2,H431="Cash",3,H431="Bank Transfer",4,TRUE,5)</f>
        <v>3</v>
      </c>
    </row>
    <row r="432" spans="1:9" x14ac:dyDescent="0.3">
      <c r="A432">
        <v>395</v>
      </c>
      <c r="B432">
        <v>863</v>
      </c>
      <c r="C432">
        <v>318</v>
      </c>
      <c r="D432">
        <v>4</v>
      </c>
      <c r="E432" s="1">
        <v>45591</v>
      </c>
      <c r="F432">
        <v>16</v>
      </c>
      <c r="G432">
        <v>1087.6400000000001</v>
      </c>
      <c r="H432" t="s">
        <v>9</v>
      </c>
      <c r="I432" cm="1">
        <f t="array" ref="I432">_xlfn.IFS(H432="Credit Card",1,H432="PayPal",2,H432="Cash",3,H432="Bank Transfer",4,TRUE,5)</f>
        <v>1</v>
      </c>
    </row>
    <row r="433" spans="1:9" x14ac:dyDescent="0.3">
      <c r="A433">
        <v>397</v>
      </c>
      <c r="B433">
        <v>999</v>
      </c>
      <c r="C433">
        <v>473</v>
      </c>
      <c r="D433">
        <v>3</v>
      </c>
      <c r="E433" s="1">
        <v>45485</v>
      </c>
      <c r="F433">
        <v>14</v>
      </c>
      <c r="G433">
        <v>279.52</v>
      </c>
      <c r="H433" t="s">
        <v>11</v>
      </c>
      <c r="I433" cm="1">
        <f t="array" ref="I433">_xlfn.IFS(H433="Credit Card",1,H433="PayPal",2,H433="Cash",3,H433="Bank Transfer",4,TRUE,5)</f>
        <v>2</v>
      </c>
    </row>
    <row r="434" spans="1:9" x14ac:dyDescent="0.3">
      <c r="A434">
        <v>398</v>
      </c>
      <c r="B434">
        <v>820</v>
      </c>
      <c r="C434">
        <v>311</v>
      </c>
      <c r="D434">
        <v>2</v>
      </c>
      <c r="E434" s="1">
        <v>45326</v>
      </c>
      <c r="F434">
        <v>2</v>
      </c>
      <c r="G434">
        <v>922.97</v>
      </c>
      <c r="H434" t="s">
        <v>11</v>
      </c>
      <c r="I434" cm="1">
        <f t="array" ref="I434">_xlfn.IFS(H434="Credit Card",1,H434="PayPal",2,H434="Cash",3,H434="Bank Transfer",4,TRUE,5)</f>
        <v>2</v>
      </c>
    </row>
    <row r="435" spans="1:9" x14ac:dyDescent="0.3">
      <c r="A435">
        <v>399</v>
      </c>
      <c r="B435">
        <v>503</v>
      </c>
      <c r="C435">
        <v>344</v>
      </c>
      <c r="D435">
        <v>2</v>
      </c>
      <c r="E435" s="1">
        <v>45298</v>
      </c>
      <c r="F435">
        <v>8</v>
      </c>
      <c r="G435">
        <v>1836.47</v>
      </c>
      <c r="H435" t="s">
        <v>9</v>
      </c>
      <c r="I435" cm="1">
        <f t="array" ref="I435">_xlfn.IFS(H435="Credit Card",1,H435="PayPal",2,H435="Cash",3,H435="Bank Transfer",4,TRUE,5)</f>
        <v>1</v>
      </c>
    </row>
    <row r="436" spans="1:9" x14ac:dyDescent="0.3">
      <c r="A436">
        <v>400</v>
      </c>
      <c r="B436">
        <v>990</v>
      </c>
      <c r="C436">
        <v>939</v>
      </c>
      <c r="D436">
        <v>1</v>
      </c>
      <c r="E436" s="1">
        <v>45458</v>
      </c>
      <c r="F436">
        <v>6</v>
      </c>
      <c r="G436">
        <v>273.14</v>
      </c>
      <c r="H436" t="s">
        <v>10</v>
      </c>
      <c r="I436" cm="1">
        <f t="array" ref="I436">_xlfn.IFS(H436="Credit Card",1,H436="PayPal",2,H436="Cash",3,H436="Bank Transfer",4,TRUE,5)</f>
        <v>3</v>
      </c>
    </row>
    <row r="437" spans="1:9" x14ac:dyDescent="0.3">
      <c r="A437">
        <v>401</v>
      </c>
      <c r="B437">
        <v>801</v>
      </c>
      <c r="C437">
        <v>493</v>
      </c>
      <c r="D437">
        <v>4</v>
      </c>
      <c r="E437" s="1">
        <v>45468</v>
      </c>
      <c r="F437">
        <v>15</v>
      </c>
      <c r="G437">
        <v>668.27</v>
      </c>
      <c r="H437" t="s">
        <v>11</v>
      </c>
      <c r="I437" cm="1">
        <f t="array" ref="I437">_xlfn.IFS(H437="Credit Card",1,H437="PayPal",2,H437="Cash",3,H437="Bank Transfer",4,TRUE,5)</f>
        <v>2</v>
      </c>
    </row>
    <row r="438" spans="1:9" x14ac:dyDescent="0.3">
      <c r="A438">
        <v>402</v>
      </c>
      <c r="B438">
        <v>829</v>
      </c>
      <c r="C438">
        <v>355</v>
      </c>
      <c r="D438">
        <v>1</v>
      </c>
      <c r="E438" s="1">
        <v>45400</v>
      </c>
      <c r="F438">
        <v>5</v>
      </c>
      <c r="G438">
        <v>1897.2</v>
      </c>
      <c r="H438" t="s">
        <v>9</v>
      </c>
      <c r="I438" cm="1">
        <f t="array" ref="I438">_xlfn.IFS(H438="Credit Card",1,H438="PayPal",2,H438="Cash",3,H438="Bank Transfer",4,TRUE,5)</f>
        <v>1</v>
      </c>
    </row>
    <row r="439" spans="1:9" x14ac:dyDescent="0.3">
      <c r="A439">
        <v>403</v>
      </c>
      <c r="B439">
        <v>746</v>
      </c>
      <c r="C439">
        <v>891</v>
      </c>
      <c r="D439">
        <v>5</v>
      </c>
      <c r="E439" s="1">
        <v>45430</v>
      </c>
      <c r="F439">
        <v>12</v>
      </c>
      <c r="G439">
        <v>535.15</v>
      </c>
      <c r="H439" t="s">
        <v>8</v>
      </c>
      <c r="I439" cm="1">
        <f t="array" ref="I439">_xlfn.IFS(H439="Credit Card",1,H439="PayPal",2,H439="Cash",3,H439="Bank Transfer",4,TRUE,5)</f>
        <v>4</v>
      </c>
    </row>
    <row r="440" spans="1:9" x14ac:dyDescent="0.3">
      <c r="A440">
        <v>404</v>
      </c>
      <c r="B440">
        <v>42</v>
      </c>
      <c r="C440">
        <v>382</v>
      </c>
      <c r="D440">
        <v>4</v>
      </c>
      <c r="E440" s="1">
        <v>45517</v>
      </c>
      <c r="F440">
        <v>14</v>
      </c>
      <c r="G440">
        <v>119.24</v>
      </c>
      <c r="H440" t="s">
        <v>8</v>
      </c>
      <c r="I440" cm="1">
        <f t="array" ref="I440">_xlfn.IFS(H440="Credit Card",1,H440="PayPal",2,H440="Cash",3,H440="Bank Transfer",4,TRUE,5)</f>
        <v>4</v>
      </c>
    </row>
    <row r="441" spans="1:9" x14ac:dyDescent="0.3">
      <c r="A441">
        <v>405</v>
      </c>
      <c r="B441">
        <v>457</v>
      </c>
      <c r="C441">
        <v>348</v>
      </c>
      <c r="D441">
        <v>4</v>
      </c>
      <c r="E441" s="1">
        <v>45399</v>
      </c>
      <c r="F441">
        <v>6</v>
      </c>
      <c r="G441">
        <v>427.61</v>
      </c>
      <c r="H441" t="s">
        <v>9</v>
      </c>
      <c r="I441" cm="1">
        <f t="array" ref="I441">_xlfn.IFS(H441="Credit Card",1,H441="PayPal",2,H441="Cash",3,H441="Bank Transfer",4,TRUE,5)</f>
        <v>1</v>
      </c>
    </row>
    <row r="442" spans="1:9" x14ac:dyDescent="0.3">
      <c r="A442">
        <v>406</v>
      </c>
      <c r="B442">
        <v>155</v>
      </c>
      <c r="C442">
        <v>52</v>
      </c>
      <c r="D442">
        <v>2</v>
      </c>
      <c r="E442" s="1">
        <v>45541</v>
      </c>
      <c r="F442">
        <v>11</v>
      </c>
      <c r="G442">
        <v>712.97</v>
      </c>
      <c r="H442" t="s">
        <v>9</v>
      </c>
      <c r="I442" cm="1">
        <f t="array" ref="I442">_xlfn.IFS(H442="Credit Card",1,H442="PayPal",2,H442="Cash",3,H442="Bank Transfer",4,TRUE,5)</f>
        <v>1</v>
      </c>
    </row>
    <row r="443" spans="1:9" x14ac:dyDescent="0.3">
      <c r="A443">
        <v>407</v>
      </c>
      <c r="B443">
        <v>238</v>
      </c>
      <c r="C443">
        <v>428</v>
      </c>
      <c r="D443">
        <v>3</v>
      </c>
      <c r="E443" s="1">
        <v>45293</v>
      </c>
      <c r="F443">
        <v>6</v>
      </c>
      <c r="G443">
        <v>1485.5</v>
      </c>
      <c r="H443" t="s">
        <v>8</v>
      </c>
      <c r="I443" cm="1">
        <f t="array" ref="I443">_xlfn.IFS(H443="Credit Card",1,H443="PayPal",2,H443="Cash",3,H443="Bank Transfer",4,TRUE,5)</f>
        <v>4</v>
      </c>
    </row>
    <row r="444" spans="1:9" x14ac:dyDescent="0.3">
      <c r="A444">
        <v>408</v>
      </c>
      <c r="B444">
        <v>991</v>
      </c>
      <c r="C444">
        <v>766</v>
      </c>
      <c r="D444">
        <v>2</v>
      </c>
      <c r="E444" s="1">
        <v>45319</v>
      </c>
      <c r="F444">
        <v>17</v>
      </c>
      <c r="G444">
        <v>631.39</v>
      </c>
      <c r="H444" t="s">
        <v>10</v>
      </c>
      <c r="I444" cm="1">
        <f t="array" ref="I444">_xlfn.IFS(H444="Credit Card",1,H444="PayPal",2,H444="Cash",3,H444="Bank Transfer",4,TRUE,5)</f>
        <v>3</v>
      </c>
    </row>
    <row r="445" spans="1:9" x14ac:dyDescent="0.3">
      <c r="A445">
        <v>409</v>
      </c>
      <c r="B445">
        <v>20</v>
      </c>
      <c r="C445">
        <v>795</v>
      </c>
      <c r="D445">
        <v>3</v>
      </c>
      <c r="E445" s="1">
        <v>45564</v>
      </c>
      <c r="F445">
        <v>9</v>
      </c>
      <c r="G445">
        <v>990.15</v>
      </c>
      <c r="H445" t="s">
        <v>8</v>
      </c>
      <c r="I445" cm="1">
        <f t="array" ref="I445">_xlfn.IFS(H445="Credit Card",1,H445="PayPal",2,H445="Cash",3,H445="Bank Transfer",4,TRUE,5)</f>
        <v>4</v>
      </c>
    </row>
    <row r="446" spans="1:9" x14ac:dyDescent="0.3">
      <c r="A446">
        <v>410</v>
      </c>
      <c r="B446">
        <v>500</v>
      </c>
      <c r="C446">
        <v>423</v>
      </c>
      <c r="D446">
        <v>5</v>
      </c>
      <c r="E446" s="1">
        <v>45622</v>
      </c>
      <c r="F446">
        <v>16</v>
      </c>
      <c r="G446">
        <v>283.27</v>
      </c>
      <c r="H446" t="s">
        <v>8</v>
      </c>
      <c r="I446" cm="1">
        <f t="array" ref="I446">_xlfn.IFS(H446="Credit Card",1,H446="PayPal",2,H446="Cash",3,H446="Bank Transfer",4,TRUE,5)</f>
        <v>4</v>
      </c>
    </row>
    <row r="447" spans="1:9" x14ac:dyDescent="0.3">
      <c r="A447">
        <v>411</v>
      </c>
      <c r="B447">
        <v>322</v>
      </c>
      <c r="C447">
        <v>381</v>
      </c>
      <c r="D447">
        <v>4</v>
      </c>
      <c r="E447" s="1">
        <v>45418</v>
      </c>
      <c r="F447">
        <v>5</v>
      </c>
      <c r="G447">
        <v>341.13</v>
      </c>
      <c r="H447" t="s">
        <v>9</v>
      </c>
      <c r="I447" cm="1">
        <f t="array" ref="I447">_xlfn.IFS(H447="Credit Card",1,H447="PayPal",2,H447="Cash",3,H447="Bank Transfer",4,TRUE,5)</f>
        <v>1</v>
      </c>
    </row>
    <row r="448" spans="1:9" x14ac:dyDescent="0.3">
      <c r="A448">
        <v>412</v>
      </c>
      <c r="B448">
        <v>797</v>
      </c>
      <c r="C448">
        <v>897</v>
      </c>
      <c r="D448">
        <v>5</v>
      </c>
      <c r="E448" s="1">
        <v>45497</v>
      </c>
      <c r="F448">
        <v>20</v>
      </c>
      <c r="G448">
        <v>411.83</v>
      </c>
      <c r="H448" t="s">
        <v>10</v>
      </c>
      <c r="I448" cm="1">
        <f t="array" ref="I448">_xlfn.IFS(H448="Credit Card",1,H448="PayPal",2,H448="Cash",3,H448="Bank Transfer",4,TRUE,5)</f>
        <v>3</v>
      </c>
    </row>
    <row r="449" spans="1:9" x14ac:dyDescent="0.3">
      <c r="A449">
        <v>413</v>
      </c>
      <c r="B449">
        <v>233</v>
      </c>
      <c r="C449">
        <v>140</v>
      </c>
      <c r="D449">
        <v>3</v>
      </c>
      <c r="E449" s="1">
        <v>45520</v>
      </c>
      <c r="F449">
        <v>11</v>
      </c>
      <c r="G449">
        <v>1999.04</v>
      </c>
      <c r="H449" t="s">
        <v>8</v>
      </c>
      <c r="I449" cm="1">
        <f t="array" ref="I449">_xlfn.IFS(H449="Credit Card",1,H449="PayPal",2,H449="Cash",3,H449="Bank Transfer",4,TRUE,5)</f>
        <v>4</v>
      </c>
    </row>
    <row r="450" spans="1:9" x14ac:dyDescent="0.3">
      <c r="A450">
        <v>414</v>
      </c>
      <c r="B450">
        <v>730</v>
      </c>
      <c r="C450">
        <v>449</v>
      </c>
      <c r="D450">
        <v>2</v>
      </c>
      <c r="E450" s="1">
        <v>45339</v>
      </c>
      <c r="F450">
        <v>8</v>
      </c>
      <c r="G450">
        <v>556.66</v>
      </c>
      <c r="H450" t="s">
        <v>10</v>
      </c>
      <c r="I450" cm="1">
        <f t="array" ref="I450">_xlfn.IFS(H450="Credit Card",1,H450="PayPal",2,H450="Cash",3,H450="Bank Transfer",4,TRUE,5)</f>
        <v>3</v>
      </c>
    </row>
    <row r="451" spans="1:9" x14ac:dyDescent="0.3">
      <c r="A451">
        <v>415</v>
      </c>
      <c r="B451">
        <v>454</v>
      </c>
      <c r="C451">
        <v>833</v>
      </c>
      <c r="D451">
        <v>3</v>
      </c>
      <c r="E451" s="1">
        <v>45522</v>
      </c>
      <c r="F451">
        <v>14</v>
      </c>
      <c r="G451">
        <v>358.13</v>
      </c>
      <c r="H451" t="s">
        <v>9</v>
      </c>
      <c r="I451" cm="1">
        <f t="array" ref="I451">_xlfn.IFS(H451="Credit Card",1,H451="PayPal",2,H451="Cash",3,H451="Bank Transfer",4,TRUE,5)</f>
        <v>1</v>
      </c>
    </row>
    <row r="452" spans="1:9" x14ac:dyDescent="0.3">
      <c r="A452">
        <v>416</v>
      </c>
      <c r="B452">
        <v>830</v>
      </c>
      <c r="C452">
        <v>521</v>
      </c>
      <c r="D452">
        <v>3</v>
      </c>
      <c r="E452" s="1">
        <v>45578</v>
      </c>
      <c r="F452">
        <v>13</v>
      </c>
      <c r="G452">
        <v>891.46</v>
      </c>
      <c r="H452" t="s">
        <v>8</v>
      </c>
      <c r="I452" cm="1">
        <f t="array" ref="I452">_xlfn.IFS(H452="Credit Card",1,H452="PayPal",2,H452="Cash",3,H452="Bank Transfer",4,TRUE,5)</f>
        <v>4</v>
      </c>
    </row>
    <row r="453" spans="1:9" x14ac:dyDescent="0.3">
      <c r="A453">
        <v>417</v>
      </c>
      <c r="B453">
        <v>135</v>
      </c>
      <c r="C453">
        <v>159</v>
      </c>
      <c r="D453">
        <v>4</v>
      </c>
      <c r="E453" s="1">
        <v>45523</v>
      </c>
      <c r="F453">
        <v>20</v>
      </c>
      <c r="G453">
        <v>1155.25</v>
      </c>
      <c r="H453" t="s">
        <v>9</v>
      </c>
      <c r="I453" cm="1">
        <f t="array" ref="I453">_xlfn.IFS(H453="Credit Card",1,H453="PayPal",2,H453="Cash",3,H453="Bank Transfer",4,TRUE,5)</f>
        <v>1</v>
      </c>
    </row>
    <row r="454" spans="1:9" x14ac:dyDescent="0.3">
      <c r="A454">
        <v>418</v>
      </c>
      <c r="B454">
        <v>47</v>
      </c>
      <c r="C454">
        <v>356</v>
      </c>
      <c r="D454">
        <v>5</v>
      </c>
      <c r="E454" s="1">
        <v>45554</v>
      </c>
      <c r="F454">
        <v>19</v>
      </c>
      <c r="G454">
        <v>873.83</v>
      </c>
      <c r="H454" t="s">
        <v>10</v>
      </c>
      <c r="I454" cm="1">
        <f t="array" ref="I454">_xlfn.IFS(H454="Credit Card",1,H454="PayPal",2,H454="Cash",3,H454="Bank Transfer",4,TRUE,5)</f>
        <v>3</v>
      </c>
    </row>
    <row r="455" spans="1:9" x14ac:dyDescent="0.3">
      <c r="A455">
        <v>419</v>
      </c>
      <c r="B455">
        <v>350</v>
      </c>
      <c r="C455">
        <v>265</v>
      </c>
      <c r="D455">
        <v>5</v>
      </c>
      <c r="E455" s="1">
        <v>45452</v>
      </c>
      <c r="F455">
        <v>17</v>
      </c>
      <c r="G455">
        <v>1074.1400000000001</v>
      </c>
      <c r="H455" t="s">
        <v>11</v>
      </c>
      <c r="I455" cm="1">
        <f t="array" ref="I455">_xlfn.IFS(H455="Credit Card",1,H455="PayPal",2,H455="Cash",3,H455="Bank Transfer",4,TRUE,5)</f>
        <v>2</v>
      </c>
    </row>
    <row r="456" spans="1:9" x14ac:dyDescent="0.3">
      <c r="A456">
        <v>420</v>
      </c>
      <c r="B456">
        <v>880</v>
      </c>
      <c r="C456">
        <v>522</v>
      </c>
      <c r="D456">
        <v>3</v>
      </c>
      <c r="E456" s="1">
        <v>45490</v>
      </c>
      <c r="F456">
        <v>17</v>
      </c>
      <c r="G456">
        <v>1161.31</v>
      </c>
      <c r="H456" t="s">
        <v>8</v>
      </c>
      <c r="I456" cm="1">
        <f t="array" ref="I456">_xlfn.IFS(H456="Credit Card",1,H456="PayPal",2,H456="Cash",3,H456="Bank Transfer",4,TRUE,5)</f>
        <v>4</v>
      </c>
    </row>
    <row r="457" spans="1:9" x14ac:dyDescent="0.3">
      <c r="A457">
        <v>421</v>
      </c>
      <c r="B457">
        <v>988</v>
      </c>
      <c r="C457">
        <v>216</v>
      </c>
      <c r="D457">
        <v>5</v>
      </c>
      <c r="E457" s="1">
        <v>45580</v>
      </c>
      <c r="F457">
        <v>15</v>
      </c>
      <c r="G457">
        <v>1589</v>
      </c>
      <c r="H457" t="s">
        <v>9</v>
      </c>
      <c r="I457" cm="1">
        <f t="array" ref="I457">_xlfn.IFS(H457="Credit Card",1,H457="PayPal",2,H457="Cash",3,H457="Bank Transfer",4,TRUE,5)</f>
        <v>1</v>
      </c>
    </row>
    <row r="458" spans="1:9" x14ac:dyDescent="0.3">
      <c r="A458">
        <v>422</v>
      </c>
      <c r="B458">
        <v>852</v>
      </c>
      <c r="C458">
        <v>52</v>
      </c>
      <c r="D458">
        <v>5</v>
      </c>
      <c r="E458" s="1">
        <v>45438</v>
      </c>
      <c r="F458">
        <v>17</v>
      </c>
      <c r="G458">
        <v>865.17</v>
      </c>
      <c r="H458" t="s">
        <v>10</v>
      </c>
      <c r="I458" cm="1">
        <f t="array" ref="I458">_xlfn.IFS(H458="Credit Card",1,H458="PayPal",2,H458="Cash",3,H458="Bank Transfer",4,TRUE,5)</f>
        <v>3</v>
      </c>
    </row>
    <row r="459" spans="1:9" x14ac:dyDescent="0.3">
      <c r="A459">
        <v>423</v>
      </c>
      <c r="B459">
        <v>588</v>
      </c>
      <c r="C459">
        <v>379</v>
      </c>
      <c r="D459">
        <v>5</v>
      </c>
      <c r="E459" s="1">
        <v>45310</v>
      </c>
      <c r="F459">
        <v>16</v>
      </c>
      <c r="G459">
        <v>921.04</v>
      </c>
      <c r="H459" t="s">
        <v>11</v>
      </c>
      <c r="I459" cm="1">
        <f t="array" ref="I459">_xlfn.IFS(H459="Credit Card",1,H459="PayPal",2,H459="Cash",3,H459="Bank Transfer",4,TRUE,5)</f>
        <v>2</v>
      </c>
    </row>
    <row r="460" spans="1:9" x14ac:dyDescent="0.3">
      <c r="A460">
        <v>424</v>
      </c>
      <c r="B460">
        <v>370</v>
      </c>
      <c r="C460">
        <v>292</v>
      </c>
      <c r="D460">
        <v>2</v>
      </c>
      <c r="E460" s="1">
        <v>45495</v>
      </c>
      <c r="F460">
        <v>10</v>
      </c>
      <c r="G460">
        <v>623.17999999999995</v>
      </c>
      <c r="H460" t="s">
        <v>8</v>
      </c>
      <c r="I460" cm="1">
        <f t="array" ref="I460">_xlfn.IFS(H460="Credit Card",1,H460="PayPal",2,H460="Cash",3,H460="Bank Transfer",4,TRUE,5)</f>
        <v>4</v>
      </c>
    </row>
    <row r="461" spans="1:9" x14ac:dyDescent="0.3">
      <c r="A461">
        <v>425</v>
      </c>
      <c r="B461">
        <v>646</v>
      </c>
      <c r="C461">
        <v>943</v>
      </c>
      <c r="D461">
        <v>3</v>
      </c>
      <c r="E461" s="1">
        <v>45628</v>
      </c>
      <c r="F461">
        <v>9</v>
      </c>
      <c r="G461">
        <v>445.36</v>
      </c>
      <c r="H461" t="s">
        <v>10</v>
      </c>
      <c r="I461" cm="1">
        <f t="array" ref="I461">_xlfn.IFS(H461="Credit Card",1,H461="PayPal",2,H461="Cash",3,H461="Bank Transfer",4,TRUE,5)</f>
        <v>3</v>
      </c>
    </row>
    <row r="462" spans="1:9" x14ac:dyDescent="0.3">
      <c r="A462">
        <v>426</v>
      </c>
      <c r="B462">
        <v>632</v>
      </c>
      <c r="C462">
        <v>632</v>
      </c>
      <c r="D462">
        <v>4</v>
      </c>
      <c r="E462" s="1">
        <v>45581</v>
      </c>
      <c r="F462">
        <v>15</v>
      </c>
      <c r="G462">
        <v>1202.96</v>
      </c>
      <c r="H462" t="s">
        <v>9</v>
      </c>
      <c r="I462" cm="1">
        <f t="array" ref="I462">_xlfn.IFS(H462="Credit Card",1,H462="PayPal",2,H462="Cash",3,H462="Bank Transfer",4,TRUE,5)</f>
        <v>1</v>
      </c>
    </row>
    <row r="463" spans="1:9" x14ac:dyDescent="0.3">
      <c r="A463">
        <v>427</v>
      </c>
      <c r="B463">
        <v>31</v>
      </c>
      <c r="C463">
        <v>921</v>
      </c>
      <c r="D463">
        <v>4</v>
      </c>
      <c r="E463" s="1">
        <v>45455</v>
      </c>
      <c r="F463">
        <v>7</v>
      </c>
      <c r="G463">
        <v>632.88</v>
      </c>
      <c r="H463" t="s">
        <v>11</v>
      </c>
      <c r="I463" cm="1">
        <f t="array" ref="I463">_xlfn.IFS(H463="Credit Card",1,H463="PayPal",2,H463="Cash",3,H463="Bank Transfer",4,TRUE,5)</f>
        <v>2</v>
      </c>
    </row>
    <row r="464" spans="1:9" x14ac:dyDescent="0.3">
      <c r="A464">
        <v>428</v>
      </c>
      <c r="B464">
        <v>991</v>
      </c>
      <c r="C464">
        <v>310</v>
      </c>
      <c r="D464">
        <v>5</v>
      </c>
      <c r="E464" s="1">
        <v>45401</v>
      </c>
      <c r="F464">
        <v>18</v>
      </c>
      <c r="G464">
        <v>1967.85</v>
      </c>
      <c r="H464" t="s">
        <v>11</v>
      </c>
      <c r="I464" cm="1">
        <f t="array" ref="I464">_xlfn.IFS(H464="Credit Card",1,H464="PayPal",2,H464="Cash",3,H464="Bank Transfer",4,TRUE,5)</f>
        <v>2</v>
      </c>
    </row>
    <row r="465" spans="1:9" x14ac:dyDescent="0.3">
      <c r="A465">
        <v>429</v>
      </c>
      <c r="B465">
        <v>124</v>
      </c>
      <c r="C465">
        <v>702</v>
      </c>
      <c r="D465">
        <v>3</v>
      </c>
      <c r="E465" s="1">
        <v>45375</v>
      </c>
      <c r="F465">
        <v>7</v>
      </c>
      <c r="G465">
        <v>80.81</v>
      </c>
      <c r="H465" t="s">
        <v>9</v>
      </c>
      <c r="I465" cm="1">
        <f t="array" ref="I465">_xlfn.IFS(H465="Credit Card",1,H465="PayPal",2,H465="Cash",3,H465="Bank Transfer",4,TRUE,5)</f>
        <v>1</v>
      </c>
    </row>
    <row r="466" spans="1:9" x14ac:dyDescent="0.3">
      <c r="A466">
        <v>430</v>
      </c>
      <c r="B466">
        <v>378</v>
      </c>
      <c r="C466">
        <v>511</v>
      </c>
      <c r="D466">
        <v>1</v>
      </c>
      <c r="E466" s="1">
        <v>45335</v>
      </c>
      <c r="F466">
        <v>15</v>
      </c>
      <c r="G466">
        <v>91.32</v>
      </c>
      <c r="H466" t="s">
        <v>9</v>
      </c>
      <c r="I466" cm="1">
        <f t="array" ref="I466">_xlfn.IFS(H466="Credit Card",1,H466="PayPal",2,H466="Cash",3,H466="Bank Transfer",4,TRUE,5)</f>
        <v>1</v>
      </c>
    </row>
    <row r="467" spans="1:9" x14ac:dyDescent="0.3">
      <c r="A467">
        <v>431</v>
      </c>
      <c r="B467">
        <v>201</v>
      </c>
      <c r="C467">
        <v>637</v>
      </c>
      <c r="D467">
        <v>5</v>
      </c>
      <c r="E467" s="1">
        <v>45617</v>
      </c>
      <c r="F467">
        <v>14</v>
      </c>
      <c r="G467">
        <v>175.92</v>
      </c>
      <c r="H467" t="s">
        <v>10</v>
      </c>
      <c r="I467" cm="1">
        <f t="array" ref="I467">_xlfn.IFS(H467="Credit Card",1,H467="PayPal",2,H467="Cash",3,H467="Bank Transfer",4,TRUE,5)</f>
        <v>3</v>
      </c>
    </row>
    <row r="468" spans="1:9" x14ac:dyDescent="0.3">
      <c r="A468">
        <v>432</v>
      </c>
      <c r="B468">
        <v>73</v>
      </c>
      <c r="C468">
        <v>803</v>
      </c>
      <c r="D468">
        <v>2</v>
      </c>
      <c r="E468" s="1">
        <v>45504</v>
      </c>
      <c r="F468">
        <v>15</v>
      </c>
      <c r="G468">
        <v>420.4</v>
      </c>
      <c r="H468" t="s">
        <v>10</v>
      </c>
      <c r="I468" cm="1">
        <f t="array" ref="I468">_xlfn.IFS(H468="Credit Card",1,H468="PayPal",2,H468="Cash",3,H468="Bank Transfer",4,TRUE,5)</f>
        <v>3</v>
      </c>
    </row>
    <row r="469" spans="1:9" x14ac:dyDescent="0.3">
      <c r="A469">
        <v>433</v>
      </c>
      <c r="B469">
        <v>244</v>
      </c>
      <c r="C469">
        <v>70</v>
      </c>
      <c r="D469">
        <v>1</v>
      </c>
      <c r="E469" s="1">
        <v>45439</v>
      </c>
      <c r="F469">
        <v>7</v>
      </c>
      <c r="G469">
        <v>339.65</v>
      </c>
      <c r="H469" t="s">
        <v>11</v>
      </c>
      <c r="I469" cm="1">
        <f t="array" ref="I469">_xlfn.IFS(H469="Credit Card",1,H469="PayPal",2,H469="Cash",3,H469="Bank Transfer",4,TRUE,5)</f>
        <v>2</v>
      </c>
    </row>
    <row r="470" spans="1:9" x14ac:dyDescent="0.3">
      <c r="A470">
        <v>434</v>
      </c>
      <c r="B470">
        <v>514</v>
      </c>
      <c r="C470">
        <v>287</v>
      </c>
      <c r="D470">
        <v>3</v>
      </c>
      <c r="E470" s="1">
        <v>45325</v>
      </c>
      <c r="F470">
        <v>15</v>
      </c>
      <c r="G470">
        <v>1758.31</v>
      </c>
      <c r="H470" t="s">
        <v>10</v>
      </c>
      <c r="I470" cm="1">
        <f t="array" ref="I470">_xlfn.IFS(H470="Credit Card",1,H470="PayPal",2,H470="Cash",3,H470="Bank Transfer",4,TRUE,5)</f>
        <v>3</v>
      </c>
    </row>
    <row r="471" spans="1:9" x14ac:dyDescent="0.3">
      <c r="A471">
        <v>435</v>
      </c>
      <c r="B471">
        <v>805</v>
      </c>
      <c r="C471">
        <v>874</v>
      </c>
      <c r="D471">
        <v>3</v>
      </c>
      <c r="E471" s="1">
        <v>45506</v>
      </c>
      <c r="F471">
        <v>10</v>
      </c>
      <c r="G471">
        <v>507.37</v>
      </c>
      <c r="H471" t="s">
        <v>11</v>
      </c>
      <c r="I471" cm="1">
        <f t="array" ref="I471">_xlfn.IFS(H471="Credit Card",1,H471="PayPal",2,H471="Cash",3,H471="Bank Transfer",4,TRUE,5)</f>
        <v>2</v>
      </c>
    </row>
    <row r="472" spans="1:9" x14ac:dyDescent="0.3">
      <c r="A472">
        <v>436</v>
      </c>
      <c r="B472">
        <v>135</v>
      </c>
      <c r="C472">
        <v>546</v>
      </c>
      <c r="D472">
        <v>2</v>
      </c>
      <c r="E472" s="1">
        <v>45563</v>
      </c>
      <c r="F472">
        <v>6</v>
      </c>
      <c r="G472">
        <v>1035.8399999999999</v>
      </c>
      <c r="H472" t="s">
        <v>8</v>
      </c>
      <c r="I472" cm="1">
        <f t="array" ref="I472">_xlfn.IFS(H472="Credit Card",1,H472="PayPal",2,H472="Cash",3,H472="Bank Transfer",4,TRUE,5)</f>
        <v>4</v>
      </c>
    </row>
    <row r="473" spans="1:9" x14ac:dyDescent="0.3">
      <c r="A473">
        <v>437</v>
      </c>
      <c r="B473">
        <v>328</v>
      </c>
      <c r="C473">
        <v>9</v>
      </c>
      <c r="D473">
        <v>4</v>
      </c>
      <c r="E473" s="1">
        <v>45330</v>
      </c>
      <c r="F473">
        <v>12</v>
      </c>
      <c r="G473">
        <v>288.52999999999997</v>
      </c>
      <c r="H473" t="s">
        <v>11</v>
      </c>
      <c r="I473" cm="1">
        <f t="array" ref="I473">_xlfn.IFS(H473="Credit Card",1,H473="PayPal",2,H473="Cash",3,H473="Bank Transfer",4,TRUE,5)</f>
        <v>2</v>
      </c>
    </row>
    <row r="474" spans="1:9" x14ac:dyDescent="0.3">
      <c r="A474">
        <v>438</v>
      </c>
      <c r="B474">
        <v>553</v>
      </c>
      <c r="C474">
        <v>277</v>
      </c>
      <c r="D474">
        <v>4</v>
      </c>
      <c r="E474" s="1">
        <v>45395</v>
      </c>
      <c r="F474">
        <v>6</v>
      </c>
      <c r="G474">
        <v>19.920000000000002</v>
      </c>
      <c r="H474" t="s">
        <v>8</v>
      </c>
      <c r="I474" cm="1">
        <f t="array" ref="I474">_xlfn.IFS(H474="Credit Card",1,H474="PayPal",2,H474="Cash",3,H474="Bank Transfer",4,TRUE,5)</f>
        <v>4</v>
      </c>
    </row>
    <row r="475" spans="1:9" x14ac:dyDescent="0.3">
      <c r="A475">
        <v>439</v>
      </c>
      <c r="B475">
        <v>137</v>
      </c>
      <c r="C475">
        <v>312</v>
      </c>
      <c r="D475">
        <v>3</v>
      </c>
      <c r="E475" s="1">
        <v>45324</v>
      </c>
      <c r="F475">
        <v>18</v>
      </c>
      <c r="G475">
        <v>608.70000000000005</v>
      </c>
      <c r="H475" t="s">
        <v>11</v>
      </c>
      <c r="I475" cm="1">
        <f t="array" ref="I475">_xlfn.IFS(H475="Credit Card",1,H475="PayPal",2,H475="Cash",3,H475="Bank Transfer",4,TRUE,5)</f>
        <v>2</v>
      </c>
    </row>
    <row r="476" spans="1:9" x14ac:dyDescent="0.3">
      <c r="A476">
        <v>441</v>
      </c>
      <c r="B476">
        <v>289</v>
      </c>
      <c r="C476">
        <v>648</v>
      </c>
      <c r="D476">
        <v>2</v>
      </c>
      <c r="E476" s="1">
        <v>45629</v>
      </c>
      <c r="F476">
        <v>20</v>
      </c>
      <c r="G476">
        <v>1569.12</v>
      </c>
      <c r="H476" t="s">
        <v>10</v>
      </c>
      <c r="I476" cm="1">
        <f t="array" ref="I476">_xlfn.IFS(H476="Credit Card",1,H476="PayPal",2,H476="Cash",3,H476="Bank Transfer",4,TRUE,5)</f>
        <v>3</v>
      </c>
    </row>
    <row r="477" spans="1:9" x14ac:dyDescent="0.3">
      <c r="A477">
        <v>442</v>
      </c>
      <c r="B477">
        <v>578</v>
      </c>
      <c r="C477">
        <v>630</v>
      </c>
      <c r="D477">
        <v>3</v>
      </c>
      <c r="E477" s="1">
        <v>45526</v>
      </c>
      <c r="F477">
        <v>14</v>
      </c>
      <c r="G477">
        <v>1532.14</v>
      </c>
      <c r="H477" t="s">
        <v>11</v>
      </c>
      <c r="I477" cm="1">
        <f t="array" ref="I477">_xlfn.IFS(H477="Credit Card",1,H477="PayPal",2,H477="Cash",3,H477="Bank Transfer",4,TRUE,5)</f>
        <v>2</v>
      </c>
    </row>
    <row r="478" spans="1:9" x14ac:dyDescent="0.3">
      <c r="A478">
        <v>443</v>
      </c>
      <c r="B478">
        <v>325</v>
      </c>
      <c r="C478">
        <v>826</v>
      </c>
      <c r="D478">
        <v>2</v>
      </c>
      <c r="E478" s="1">
        <v>45614</v>
      </c>
      <c r="F478">
        <v>20</v>
      </c>
      <c r="G478">
        <v>860.63</v>
      </c>
      <c r="H478" t="s">
        <v>10</v>
      </c>
      <c r="I478" cm="1">
        <f t="array" ref="I478">_xlfn.IFS(H478="Credit Card",1,H478="PayPal",2,H478="Cash",3,H478="Bank Transfer",4,TRUE,5)</f>
        <v>3</v>
      </c>
    </row>
    <row r="479" spans="1:9" x14ac:dyDescent="0.3">
      <c r="A479">
        <v>444</v>
      </c>
      <c r="B479">
        <v>634</v>
      </c>
      <c r="C479">
        <v>33</v>
      </c>
      <c r="D479">
        <v>4</v>
      </c>
      <c r="E479" s="1">
        <v>45623</v>
      </c>
      <c r="F479">
        <v>1</v>
      </c>
      <c r="G479">
        <v>1841.4</v>
      </c>
      <c r="H479" t="s">
        <v>9</v>
      </c>
      <c r="I479" cm="1">
        <f t="array" ref="I479">_xlfn.IFS(H479="Credit Card",1,H479="PayPal",2,H479="Cash",3,H479="Bank Transfer",4,TRUE,5)</f>
        <v>1</v>
      </c>
    </row>
    <row r="480" spans="1:9" x14ac:dyDescent="0.3">
      <c r="A480">
        <v>445</v>
      </c>
      <c r="B480">
        <v>965</v>
      </c>
      <c r="C480">
        <v>288</v>
      </c>
      <c r="D480">
        <v>4</v>
      </c>
      <c r="E480" s="1">
        <v>45430</v>
      </c>
      <c r="F480">
        <v>20</v>
      </c>
      <c r="G480">
        <v>871.43</v>
      </c>
      <c r="H480" t="s">
        <v>11</v>
      </c>
      <c r="I480" cm="1">
        <f t="array" ref="I480">_xlfn.IFS(H480="Credit Card",1,H480="PayPal",2,H480="Cash",3,H480="Bank Transfer",4,TRUE,5)</f>
        <v>2</v>
      </c>
    </row>
    <row r="481" spans="1:9" x14ac:dyDescent="0.3">
      <c r="A481">
        <v>446</v>
      </c>
      <c r="B481">
        <v>74</v>
      </c>
      <c r="C481">
        <v>74</v>
      </c>
      <c r="D481">
        <v>5</v>
      </c>
      <c r="E481" s="1">
        <v>45295</v>
      </c>
      <c r="F481">
        <v>11</v>
      </c>
      <c r="G481">
        <v>170.31</v>
      </c>
      <c r="H481" t="s">
        <v>10</v>
      </c>
      <c r="I481" cm="1">
        <f t="array" ref="I481">_xlfn.IFS(H481="Credit Card",1,H481="PayPal",2,H481="Cash",3,H481="Bank Transfer",4,TRUE,5)</f>
        <v>3</v>
      </c>
    </row>
    <row r="482" spans="1:9" x14ac:dyDescent="0.3">
      <c r="A482">
        <v>447</v>
      </c>
      <c r="B482">
        <v>943</v>
      </c>
      <c r="C482">
        <v>938</v>
      </c>
      <c r="D482">
        <v>1</v>
      </c>
      <c r="E482" s="1">
        <v>45333</v>
      </c>
      <c r="F482">
        <v>6</v>
      </c>
      <c r="G482">
        <v>1386.99</v>
      </c>
      <c r="H482" t="s">
        <v>10</v>
      </c>
      <c r="I482" cm="1">
        <f t="array" ref="I482">_xlfn.IFS(H482="Credit Card",1,H482="PayPal",2,H482="Cash",3,H482="Bank Transfer",4,TRUE,5)</f>
        <v>3</v>
      </c>
    </row>
    <row r="483" spans="1:9" x14ac:dyDescent="0.3">
      <c r="A483">
        <v>448</v>
      </c>
      <c r="B483">
        <v>544</v>
      </c>
      <c r="C483">
        <v>228</v>
      </c>
      <c r="D483">
        <v>3</v>
      </c>
      <c r="E483" s="1">
        <v>45548</v>
      </c>
      <c r="F483">
        <v>12</v>
      </c>
      <c r="G483">
        <v>1010.5</v>
      </c>
      <c r="H483" t="s">
        <v>9</v>
      </c>
      <c r="I483" cm="1">
        <f t="array" ref="I483">_xlfn.IFS(H483="Credit Card",1,H483="PayPal",2,H483="Cash",3,H483="Bank Transfer",4,TRUE,5)</f>
        <v>1</v>
      </c>
    </row>
    <row r="484" spans="1:9" x14ac:dyDescent="0.3">
      <c r="A484">
        <v>449</v>
      </c>
      <c r="B484">
        <v>677</v>
      </c>
      <c r="C484">
        <v>3</v>
      </c>
      <c r="D484">
        <v>2</v>
      </c>
      <c r="E484" s="1">
        <v>45332</v>
      </c>
      <c r="F484">
        <v>15</v>
      </c>
      <c r="G484">
        <v>1411.58</v>
      </c>
      <c r="H484" t="s">
        <v>9</v>
      </c>
      <c r="I484" cm="1">
        <f t="array" ref="I484">_xlfn.IFS(H484="Credit Card",1,H484="PayPal",2,H484="Cash",3,H484="Bank Transfer",4,TRUE,5)</f>
        <v>1</v>
      </c>
    </row>
    <row r="485" spans="1:9" x14ac:dyDescent="0.3">
      <c r="A485">
        <v>450</v>
      </c>
      <c r="B485">
        <v>933</v>
      </c>
      <c r="C485">
        <v>566</v>
      </c>
      <c r="D485">
        <v>1</v>
      </c>
      <c r="E485" s="1">
        <v>45403</v>
      </c>
      <c r="F485">
        <v>1</v>
      </c>
      <c r="G485">
        <v>1838.34</v>
      </c>
      <c r="H485" t="s">
        <v>11</v>
      </c>
      <c r="I485" cm="1">
        <f t="array" ref="I485">_xlfn.IFS(H485="Credit Card",1,H485="PayPal",2,H485="Cash",3,H485="Bank Transfer",4,TRUE,5)</f>
        <v>2</v>
      </c>
    </row>
    <row r="486" spans="1:9" x14ac:dyDescent="0.3">
      <c r="A486">
        <v>452</v>
      </c>
      <c r="B486">
        <v>884</v>
      </c>
      <c r="C486">
        <v>492</v>
      </c>
      <c r="D486">
        <v>1</v>
      </c>
      <c r="E486" s="1">
        <v>45406</v>
      </c>
      <c r="F486">
        <v>15</v>
      </c>
      <c r="G486">
        <v>442.14</v>
      </c>
      <c r="H486" t="s">
        <v>9</v>
      </c>
      <c r="I486" cm="1">
        <f t="array" ref="I486">_xlfn.IFS(H486="Credit Card",1,H486="PayPal",2,H486="Cash",3,H486="Bank Transfer",4,TRUE,5)</f>
        <v>1</v>
      </c>
    </row>
    <row r="487" spans="1:9" x14ac:dyDescent="0.3">
      <c r="A487">
        <v>453</v>
      </c>
      <c r="B487">
        <v>936</v>
      </c>
      <c r="C487">
        <v>2</v>
      </c>
      <c r="D487">
        <v>2</v>
      </c>
      <c r="E487" s="1">
        <v>45454</v>
      </c>
      <c r="F487">
        <v>4</v>
      </c>
      <c r="G487">
        <v>1907.75</v>
      </c>
      <c r="H487" t="s">
        <v>9</v>
      </c>
      <c r="I487" cm="1">
        <f t="array" ref="I487">_xlfn.IFS(H487="Credit Card",1,H487="PayPal",2,H487="Cash",3,H487="Bank Transfer",4,TRUE,5)</f>
        <v>1</v>
      </c>
    </row>
    <row r="488" spans="1:9" x14ac:dyDescent="0.3">
      <c r="A488">
        <v>454</v>
      </c>
      <c r="B488">
        <v>610</v>
      </c>
      <c r="C488">
        <v>237</v>
      </c>
      <c r="D488">
        <v>1</v>
      </c>
      <c r="E488" s="1">
        <v>45485</v>
      </c>
      <c r="F488">
        <v>7</v>
      </c>
      <c r="G488">
        <v>1627.66</v>
      </c>
      <c r="H488" t="s">
        <v>9</v>
      </c>
      <c r="I488" cm="1">
        <f t="array" ref="I488">_xlfn.IFS(H488="Credit Card",1,H488="PayPal",2,H488="Cash",3,H488="Bank Transfer",4,TRUE,5)</f>
        <v>1</v>
      </c>
    </row>
    <row r="489" spans="1:9" x14ac:dyDescent="0.3">
      <c r="A489">
        <v>455</v>
      </c>
      <c r="B489">
        <v>510</v>
      </c>
      <c r="C489">
        <v>417</v>
      </c>
      <c r="D489">
        <v>3</v>
      </c>
      <c r="E489" s="1">
        <v>45393</v>
      </c>
      <c r="F489">
        <v>1</v>
      </c>
      <c r="G489">
        <v>144.80000000000001</v>
      </c>
      <c r="H489" t="s">
        <v>10</v>
      </c>
      <c r="I489" cm="1">
        <f t="array" ref="I489">_xlfn.IFS(H489="Credit Card",1,H489="PayPal",2,H489="Cash",3,H489="Bank Transfer",4,TRUE,5)</f>
        <v>3</v>
      </c>
    </row>
    <row r="490" spans="1:9" x14ac:dyDescent="0.3">
      <c r="A490">
        <v>456</v>
      </c>
      <c r="B490">
        <v>963</v>
      </c>
      <c r="C490">
        <v>373</v>
      </c>
      <c r="D490">
        <v>5</v>
      </c>
      <c r="E490" s="1">
        <v>45293</v>
      </c>
      <c r="F490">
        <v>5</v>
      </c>
      <c r="G490">
        <v>448.69</v>
      </c>
      <c r="H490" t="s">
        <v>9</v>
      </c>
      <c r="I490" cm="1">
        <f t="array" ref="I490">_xlfn.IFS(H490="Credit Card",1,H490="PayPal",2,H490="Cash",3,H490="Bank Transfer",4,TRUE,5)</f>
        <v>1</v>
      </c>
    </row>
    <row r="491" spans="1:9" x14ac:dyDescent="0.3">
      <c r="A491">
        <v>457</v>
      </c>
      <c r="B491">
        <v>844</v>
      </c>
      <c r="C491">
        <v>596</v>
      </c>
      <c r="D491">
        <v>1</v>
      </c>
      <c r="E491" s="1">
        <v>45465</v>
      </c>
      <c r="F491">
        <v>18</v>
      </c>
      <c r="G491">
        <v>1499.93</v>
      </c>
      <c r="H491" t="s">
        <v>8</v>
      </c>
      <c r="I491" cm="1">
        <f t="array" ref="I491">_xlfn.IFS(H491="Credit Card",1,H491="PayPal",2,H491="Cash",3,H491="Bank Transfer",4,TRUE,5)</f>
        <v>4</v>
      </c>
    </row>
    <row r="492" spans="1:9" x14ac:dyDescent="0.3">
      <c r="A492">
        <v>458</v>
      </c>
      <c r="B492">
        <v>603</v>
      </c>
      <c r="C492">
        <v>128</v>
      </c>
      <c r="D492">
        <v>4</v>
      </c>
      <c r="E492" s="1">
        <v>45546</v>
      </c>
      <c r="F492">
        <v>10</v>
      </c>
      <c r="G492">
        <v>424.85</v>
      </c>
      <c r="H492" t="s">
        <v>11</v>
      </c>
      <c r="I492" cm="1">
        <f t="array" ref="I492">_xlfn.IFS(H492="Credit Card",1,H492="PayPal",2,H492="Cash",3,H492="Bank Transfer",4,TRUE,5)</f>
        <v>2</v>
      </c>
    </row>
    <row r="493" spans="1:9" x14ac:dyDescent="0.3">
      <c r="A493">
        <v>459</v>
      </c>
      <c r="B493">
        <v>450</v>
      </c>
      <c r="C493">
        <v>75</v>
      </c>
      <c r="D493">
        <v>2</v>
      </c>
      <c r="E493" s="1">
        <v>45341</v>
      </c>
      <c r="F493">
        <v>13</v>
      </c>
      <c r="G493">
        <v>437.74</v>
      </c>
      <c r="H493" t="s">
        <v>8</v>
      </c>
      <c r="I493" cm="1">
        <f t="array" ref="I493">_xlfn.IFS(H493="Credit Card",1,H493="PayPal",2,H493="Cash",3,H493="Bank Transfer",4,TRUE,5)</f>
        <v>4</v>
      </c>
    </row>
    <row r="494" spans="1:9" x14ac:dyDescent="0.3">
      <c r="A494">
        <v>460</v>
      </c>
      <c r="B494">
        <v>386</v>
      </c>
      <c r="C494">
        <v>90</v>
      </c>
      <c r="D494">
        <v>2</v>
      </c>
      <c r="E494" s="1">
        <v>45377</v>
      </c>
      <c r="F494">
        <v>4</v>
      </c>
      <c r="G494">
        <v>45.01</v>
      </c>
      <c r="H494" t="s">
        <v>8</v>
      </c>
      <c r="I494" cm="1">
        <f t="array" ref="I494">_xlfn.IFS(H494="Credit Card",1,H494="PayPal",2,H494="Cash",3,H494="Bank Transfer",4,TRUE,5)</f>
        <v>4</v>
      </c>
    </row>
    <row r="495" spans="1:9" x14ac:dyDescent="0.3">
      <c r="A495">
        <v>461</v>
      </c>
      <c r="B495">
        <v>22</v>
      </c>
      <c r="C495">
        <v>894</v>
      </c>
      <c r="D495">
        <v>2</v>
      </c>
      <c r="E495" s="1">
        <v>45381</v>
      </c>
      <c r="F495">
        <v>1</v>
      </c>
      <c r="G495">
        <v>1748.4</v>
      </c>
      <c r="H495" t="s">
        <v>9</v>
      </c>
      <c r="I495" cm="1">
        <f t="array" ref="I495">_xlfn.IFS(H495="Credit Card",1,H495="PayPal",2,H495="Cash",3,H495="Bank Transfer",4,TRUE,5)</f>
        <v>1</v>
      </c>
    </row>
    <row r="496" spans="1:9" x14ac:dyDescent="0.3">
      <c r="A496">
        <v>462</v>
      </c>
      <c r="B496">
        <v>281</v>
      </c>
      <c r="C496">
        <v>324</v>
      </c>
      <c r="D496">
        <v>1</v>
      </c>
      <c r="E496" s="1">
        <v>45598</v>
      </c>
      <c r="F496">
        <v>13</v>
      </c>
      <c r="G496">
        <v>510.56</v>
      </c>
      <c r="H496" t="s">
        <v>9</v>
      </c>
      <c r="I496" cm="1">
        <f t="array" ref="I496">_xlfn.IFS(H496="Credit Card",1,H496="PayPal",2,H496="Cash",3,H496="Bank Transfer",4,TRUE,5)</f>
        <v>1</v>
      </c>
    </row>
    <row r="497" spans="1:9" x14ac:dyDescent="0.3">
      <c r="A497">
        <v>463</v>
      </c>
      <c r="B497">
        <v>721</v>
      </c>
      <c r="C497">
        <v>98</v>
      </c>
      <c r="D497">
        <v>5</v>
      </c>
      <c r="E497" s="1">
        <v>45587</v>
      </c>
      <c r="F497">
        <v>13</v>
      </c>
      <c r="G497">
        <v>866.67</v>
      </c>
      <c r="H497" t="s">
        <v>9</v>
      </c>
      <c r="I497" cm="1">
        <f t="array" ref="I497">_xlfn.IFS(H497="Credit Card",1,H497="PayPal",2,H497="Cash",3,H497="Bank Transfer",4,TRUE,5)</f>
        <v>1</v>
      </c>
    </row>
    <row r="498" spans="1:9" x14ac:dyDescent="0.3">
      <c r="A498">
        <v>464</v>
      </c>
      <c r="B498">
        <v>154</v>
      </c>
      <c r="C498">
        <v>845</v>
      </c>
      <c r="D498">
        <v>1</v>
      </c>
      <c r="E498" s="1">
        <v>45558</v>
      </c>
      <c r="F498">
        <v>12</v>
      </c>
      <c r="G498">
        <v>81.8</v>
      </c>
      <c r="H498" t="s">
        <v>10</v>
      </c>
      <c r="I498" cm="1">
        <f t="array" ref="I498">_xlfn.IFS(H498="Credit Card",1,H498="PayPal",2,H498="Cash",3,H498="Bank Transfer",4,TRUE,5)</f>
        <v>3</v>
      </c>
    </row>
    <row r="499" spans="1:9" x14ac:dyDescent="0.3">
      <c r="A499">
        <v>466</v>
      </c>
      <c r="B499">
        <v>986</v>
      </c>
      <c r="C499">
        <v>242</v>
      </c>
      <c r="D499">
        <v>1</v>
      </c>
      <c r="E499" s="1">
        <v>45353</v>
      </c>
      <c r="F499">
        <v>9</v>
      </c>
      <c r="G499">
        <v>985.15</v>
      </c>
      <c r="H499" t="s">
        <v>8</v>
      </c>
      <c r="I499" cm="1">
        <f t="array" ref="I499">_xlfn.IFS(H499="Credit Card",1,H499="PayPal",2,H499="Cash",3,H499="Bank Transfer",4,TRUE,5)</f>
        <v>4</v>
      </c>
    </row>
    <row r="500" spans="1:9" x14ac:dyDescent="0.3">
      <c r="A500">
        <v>467</v>
      </c>
      <c r="B500">
        <v>48</v>
      </c>
      <c r="C500">
        <v>309</v>
      </c>
      <c r="D500">
        <v>1</v>
      </c>
      <c r="E500" s="1">
        <v>45376</v>
      </c>
      <c r="F500">
        <v>16</v>
      </c>
      <c r="G500">
        <v>1593.3</v>
      </c>
      <c r="H500" t="s">
        <v>10</v>
      </c>
      <c r="I500" cm="1">
        <f t="array" ref="I500">_xlfn.IFS(H500="Credit Card",1,H500="PayPal",2,H500="Cash",3,H500="Bank Transfer",4,TRUE,5)</f>
        <v>3</v>
      </c>
    </row>
    <row r="501" spans="1:9" x14ac:dyDescent="0.3">
      <c r="A501">
        <v>468</v>
      </c>
      <c r="B501">
        <v>145</v>
      </c>
      <c r="C501">
        <v>845</v>
      </c>
      <c r="D501">
        <v>3</v>
      </c>
      <c r="E501" s="1">
        <v>45412</v>
      </c>
      <c r="F501">
        <v>20</v>
      </c>
      <c r="G501">
        <v>952.15</v>
      </c>
      <c r="H501" t="s">
        <v>8</v>
      </c>
      <c r="I501" cm="1">
        <f t="array" ref="I501">_xlfn.IFS(H501="Credit Card",1,H501="PayPal",2,H501="Cash",3,H501="Bank Transfer",4,TRUE,5)</f>
        <v>4</v>
      </c>
    </row>
    <row r="502" spans="1:9" x14ac:dyDescent="0.3">
      <c r="A502">
        <v>469</v>
      </c>
      <c r="B502">
        <v>375</v>
      </c>
      <c r="C502">
        <v>793</v>
      </c>
      <c r="D502">
        <v>5</v>
      </c>
      <c r="E502" s="1">
        <v>45532</v>
      </c>
      <c r="F502">
        <v>8</v>
      </c>
      <c r="G502">
        <v>1125.4100000000001</v>
      </c>
      <c r="H502" t="s">
        <v>8</v>
      </c>
      <c r="I502" cm="1">
        <f t="array" ref="I502">_xlfn.IFS(H502="Credit Card",1,H502="PayPal",2,H502="Cash",3,H502="Bank Transfer",4,TRUE,5)</f>
        <v>4</v>
      </c>
    </row>
    <row r="503" spans="1:9" x14ac:dyDescent="0.3">
      <c r="A503">
        <v>471</v>
      </c>
      <c r="B503">
        <v>218</v>
      </c>
      <c r="C503">
        <v>912</v>
      </c>
      <c r="D503">
        <v>4</v>
      </c>
      <c r="E503" s="1">
        <v>45306</v>
      </c>
      <c r="F503">
        <v>14</v>
      </c>
      <c r="G503">
        <v>991.05</v>
      </c>
      <c r="H503" t="s">
        <v>8</v>
      </c>
      <c r="I503" cm="1">
        <f t="array" ref="I503">_xlfn.IFS(H503="Credit Card",1,H503="PayPal",2,H503="Cash",3,H503="Bank Transfer",4,TRUE,5)</f>
        <v>4</v>
      </c>
    </row>
    <row r="504" spans="1:9" x14ac:dyDescent="0.3">
      <c r="A504">
        <v>472</v>
      </c>
      <c r="B504">
        <v>911</v>
      </c>
      <c r="C504">
        <v>626</v>
      </c>
      <c r="D504">
        <v>3</v>
      </c>
      <c r="E504" s="1">
        <v>45509</v>
      </c>
      <c r="F504">
        <v>19</v>
      </c>
      <c r="G504">
        <v>1128.0899999999999</v>
      </c>
      <c r="H504" t="s">
        <v>8</v>
      </c>
      <c r="I504" cm="1">
        <f t="array" ref="I504">_xlfn.IFS(H504="Credit Card",1,H504="PayPal",2,H504="Cash",3,H504="Bank Transfer",4,TRUE,5)</f>
        <v>4</v>
      </c>
    </row>
    <row r="505" spans="1:9" x14ac:dyDescent="0.3">
      <c r="A505">
        <v>473</v>
      </c>
      <c r="B505">
        <v>984</v>
      </c>
      <c r="C505">
        <v>442</v>
      </c>
      <c r="D505">
        <v>2</v>
      </c>
      <c r="E505" s="1">
        <v>45598</v>
      </c>
      <c r="F505">
        <v>8</v>
      </c>
      <c r="G505">
        <v>667.42</v>
      </c>
      <c r="H505" t="s">
        <v>8</v>
      </c>
      <c r="I505" cm="1">
        <f t="array" ref="I505">_xlfn.IFS(H505="Credit Card",1,H505="PayPal",2,H505="Cash",3,H505="Bank Transfer",4,TRUE,5)</f>
        <v>4</v>
      </c>
    </row>
    <row r="506" spans="1:9" x14ac:dyDescent="0.3">
      <c r="A506">
        <v>475</v>
      </c>
      <c r="B506">
        <v>540</v>
      </c>
      <c r="C506">
        <v>363</v>
      </c>
      <c r="D506">
        <v>1</v>
      </c>
      <c r="E506" s="1">
        <v>45454</v>
      </c>
      <c r="F506">
        <v>9</v>
      </c>
      <c r="G506">
        <v>887.39</v>
      </c>
      <c r="H506" t="s">
        <v>10</v>
      </c>
      <c r="I506" cm="1">
        <f t="array" ref="I506">_xlfn.IFS(H506="Credit Card",1,H506="PayPal",2,H506="Cash",3,H506="Bank Transfer",4,TRUE,5)</f>
        <v>3</v>
      </c>
    </row>
    <row r="507" spans="1:9" x14ac:dyDescent="0.3">
      <c r="A507">
        <v>476</v>
      </c>
      <c r="B507">
        <v>862</v>
      </c>
      <c r="C507">
        <v>444</v>
      </c>
      <c r="D507">
        <v>5</v>
      </c>
      <c r="E507" s="1">
        <v>45575</v>
      </c>
      <c r="F507">
        <v>5</v>
      </c>
      <c r="G507">
        <v>1448.6</v>
      </c>
      <c r="H507" t="s">
        <v>11</v>
      </c>
      <c r="I507" cm="1">
        <f t="array" ref="I507">_xlfn.IFS(H507="Credit Card",1,H507="PayPal",2,H507="Cash",3,H507="Bank Transfer",4,TRUE,5)</f>
        <v>2</v>
      </c>
    </row>
    <row r="508" spans="1:9" x14ac:dyDescent="0.3">
      <c r="A508">
        <v>477</v>
      </c>
      <c r="B508">
        <v>588</v>
      </c>
      <c r="C508">
        <v>332</v>
      </c>
      <c r="D508">
        <v>2</v>
      </c>
      <c r="E508" s="1">
        <v>45318</v>
      </c>
      <c r="F508">
        <v>2</v>
      </c>
      <c r="G508">
        <v>1503.26</v>
      </c>
      <c r="H508" t="s">
        <v>10</v>
      </c>
      <c r="I508" cm="1">
        <f t="array" ref="I508">_xlfn.IFS(H508="Credit Card",1,H508="PayPal",2,H508="Cash",3,H508="Bank Transfer",4,TRUE,5)</f>
        <v>3</v>
      </c>
    </row>
    <row r="509" spans="1:9" x14ac:dyDescent="0.3">
      <c r="A509">
        <v>478</v>
      </c>
      <c r="B509">
        <v>904</v>
      </c>
      <c r="C509">
        <v>682</v>
      </c>
      <c r="D509">
        <v>3</v>
      </c>
      <c r="E509" s="1">
        <v>45373</v>
      </c>
      <c r="F509">
        <v>10</v>
      </c>
      <c r="G509">
        <v>1978.51</v>
      </c>
      <c r="H509" t="s">
        <v>8</v>
      </c>
      <c r="I509" cm="1">
        <f t="array" ref="I509">_xlfn.IFS(H509="Credit Card",1,H509="PayPal",2,H509="Cash",3,H509="Bank Transfer",4,TRUE,5)</f>
        <v>4</v>
      </c>
    </row>
    <row r="510" spans="1:9" x14ac:dyDescent="0.3">
      <c r="A510">
        <v>479</v>
      </c>
      <c r="B510">
        <v>780</v>
      </c>
      <c r="C510">
        <v>314</v>
      </c>
      <c r="D510">
        <v>2</v>
      </c>
      <c r="E510" s="1">
        <v>45548</v>
      </c>
      <c r="F510">
        <v>2</v>
      </c>
      <c r="G510">
        <v>1420.89</v>
      </c>
      <c r="H510" t="s">
        <v>9</v>
      </c>
      <c r="I510" cm="1">
        <f t="array" ref="I510">_xlfn.IFS(H510="Credit Card",1,H510="PayPal",2,H510="Cash",3,H510="Bank Transfer",4,TRUE,5)</f>
        <v>1</v>
      </c>
    </row>
    <row r="511" spans="1:9" x14ac:dyDescent="0.3">
      <c r="A511">
        <v>480</v>
      </c>
      <c r="B511">
        <v>282</v>
      </c>
      <c r="C511">
        <v>470</v>
      </c>
      <c r="D511">
        <v>5</v>
      </c>
      <c r="E511" s="1">
        <v>45369</v>
      </c>
      <c r="F511">
        <v>20</v>
      </c>
      <c r="G511">
        <v>783.92</v>
      </c>
      <c r="H511" t="s">
        <v>10</v>
      </c>
      <c r="I511" cm="1">
        <f t="array" ref="I511">_xlfn.IFS(H511="Credit Card",1,H511="PayPal",2,H511="Cash",3,H511="Bank Transfer",4,TRUE,5)</f>
        <v>3</v>
      </c>
    </row>
    <row r="512" spans="1:9" x14ac:dyDescent="0.3">
      <c r="A512">
        <v>481</v>
      </c>
      <c r="B512">
        <v>647</v>
      </c>
      <c r="C512">
        <v>366</v>
      </c>
      <c r="D512">
        <v>2</v>
      </c>
      <c r="E512" s="1">
        <v>45504</v>
      </c>
      <c r="F512">
        <v>14</v>
      </c>
      <c r="G512">
        <v>1752.8</v>
      </c>
      <c r="H512" t="s">
        <v>10</v>
      </c>
      <c r="I512" cm="1">
        <f t="array" ref="I512">_xlfn.IFS(H512="Credit Card",1,H512="PayPal",2,H512="Cash",3,H512="Bank Transfer",4,TRUE,5)</f>
        <v>3</v>
      </c>
    </row>
    <row r="513" spans="1:9" x14ac:dyDescent="0.3">
      <c r="A513">
        <v>482</v>
      </c>
      <c r="B513">
        <v>255</v>
      </c>
      <c r="C513">
        <v>900</v>
      </c>
      <c r="D513">
        <v>1</v>
      </c>
      <c r="E513" s="1">
        <v>45425</v>
      </c>
      <c r="F513">
        <v>6</v>
      </c>
      <c r="G513">
        <v>1098.28</v>
      </c>
      <c r="H513" t="s">
        <v>9</v>
      </c>
      <c r="I513" cm="1">
        <f t="array" ref="I513">_xlfn.IFS(H513="Credit Card",1,H513="PayPal",2,H513="Cash",3,H513="Bank Transfer",4,TRUE,5)</f>
        <v>1</v>
      </c>
    </row>
    <row r="514" spans="1:9" x14ac:dyDescent="0.3">
      <c r="A514">
        <v>483</v>
      </c>
      <c r="B514">
        <v>650</v>
      </c>
      <c r="C514">
        <v>29</v>
      </c>
      <c r="D514">
        <v>1</v>
      </c>
      <c r="E514" s="1">
        <v>45495</v>
      </c>
      <c r="F514">
        <v>18</v>
      </c>
      <c r="G514">
        <v>1323.34</v>
      </c>
      <c r="H514" t="s">
        <v>11</v>
      </c>
      <c r="I514" cm="1">
        <f t="array" ref="I514">_xlfn.IFS(H514="Credit Card",1,H514="PayPal",2,H514="Cash",3,H514="Bank Transfer",4,TRUE,5)</f>
        <v>2</v>
      </c>
    </row>
    <row r="515" spans="1:9" x14ac:dyDescent="0.3">
      <c r="A515">
        <v>485</v>
      </c>
      <c r="B515">
        <v>199</v>
      </c>
      <c r="C515">
        <v>476</v>
      </c>
      <c r="D515">
        <v>2</v>
      </c>
      <c r="E515" s="1">
        <v>45546</v>
      </c>
      <c r="F515">
        <v>16</v>
      </c>
      <c r="G515">
        <v>1048.3599999999999</v>
      </c>
      <c r="H515" t="s">
        <v>9</v>
      </c>
      <c r="I515" cm="1">
        <f t="array" ref="I515">_xlfn.IFS(H515="Credit Card",1,H515="PayPal",2,H515="Cash",3,H515="Bank Transfer",4,TRUE,5)</f>
        <v>1</v>
      </c>
    </row>
    <row r="516" spans="1:9" x14ac:dyDescent="0.3">
      <c r="A516">
        <v>486</v>
      </c>
      <c r="B516">
        <v>76</v>
      </c>
      <c r="C516">
        <v>172</v>
      </c>
      <c r="D516">
        <v>1</v>
      </c>
      <c r="E516" s="1">
        <v>45498</v>
      </c>
      <c r="F516">
        <v>11</v>
      </c>
      <c r="G516">
        <v>1044.52</v>
      </c>
      <c r="H516" t="s">
        <v>10</v>
      </c>
      <c r="I516" cm="1">
        <f t="array" ref="I516">_xlfn.IFS(H516="Credit Card",1,H516="PayPal",2,H516="Cash",3,H516="Bank Transfer",4,TRUE,5)</f>
        <v>3</v>
      </c>
    </row>
    <row r="517" spans="1:9" x14ac:dyDescent="0.3">
      <c r="A517">
        <v>488</v>
      </c>
      <c r="B517">
        <v>237</v>
      </c>
      <c r="C517">
        <v>359</v>
      </c>
      <c r="D517">
        <v>4</v>
      </c>
      <c r="E517" s="1">
        <v>45443</v>
      </c>
      <c r="F517">
        <v>14</v>
      </c>
      <c r="G517">
        <v>1211.4000000000001</v>
      </c>
      <c r="H517" t="s">
        <v>9</v>
      </c>
      <c r="I517" cm="1">
        <f t="array" ref="I517">_xlfn.IFS(H517="Credit Card",1,H517="PayPal",2,H517="Cash",3,H517="Bank Transfer",4,TRUE,5)</f>
        <v>1</v>
      </c>
    </row>
    <row r="518" spans="1:9" x14ac:dyDescent="0.3">
      <c r="A518">
        <v>490</v>
      </c>
      <c r="B518">
        <v>173</v>
      </c>
      <c r="C518">
        <v>361</v>
      </c>
      <c r="D518">
        <v>1</v>
      </c>
      <c r="E518" s="1">
        <v>45356</v>
      </c>
      <c r="F518">
        <v>10</v>
      </c>
      <c r="G518">
        <v>1568.79</v>
      </c>
      <c r="H518" t="s">
        <v>11</v>
      </c>
      <c r="I518" cm="1">
        <f t="array" ref="I518">_xlfn.IFS(H518="Credit Card",1,H518="PayPal",2,H518="Cash",3,H518="Bank Transfer",4,TRUE,5)</f>
        <v>2</v>
      </c>
    </row>
    <row r="519" spans="1:9" x14ac:dyDescent="0.3">
      <c r="A519">
        <v>491</v>
      </c>
      <c r="B519">
        <v>150</v>
      </c>
      <c r="C519">
        <v>672</v>
      </c>
      <c r="D519">
        <v>4</v>
      </c>
      <c r="E519" s="1">
        <v>45519</v>
      </c>
      <c r="F519">
        <v>1</v>
      </c>
      <c r="G519">
        <v>72.959999999999994</v>
      </c>
      <c r="H519" t="s">
        <v>11</v>
      </c>
      <c r="I519" cm="1">
        <f t="array" ref="I519">_xlfn.IFS(H519="Credit Card",1,H519="PayPal",2,H519="Cash",3,H519="Bank Transfer",4,TRUE,5)</f>
        <v>2</v>
      </c>
    </row>
    <row r="520" spans="1:9" x14ac:dyDescent="0.3">
      <c r="A520">
        <v>492</v>
      </c>
      <c r="B520">
        <v>972</v>
      </c>
      <c r="C520">
        <v>908</v>
      </c>
      <c r="D520">
        <v>5</v>
      </c>
      <c r="E520" s="1">
        <v>45372</v>
      </c>
      <c r="F520">
        <v>19</v>
      </c>
      <c r="G520">
        <v>636.41999999999996</v>
      </c>
      <c r="H520" t="s">
        <v>11</v>
      </c>
      <c r="I520" cm="1">
        <f t="array" ref="I520">_xlfn.IFS(H520="Credit Card",1,H520="PayPal",2,H520="Cash",3,H520="Bank Transfer",4,TRUE,5)</f>
        <v>2</v>
      </c>
    </row>
    <row r="521" spans="1:9" x14ac:dyDescent="0.3">
      <c r="A521">
        <v>493</v>
      </c>
      <c r="B521">
        <v>382</v>
      </c>
      <c r="C521">
        <v>378</v>
      </c>
      <c r="D521">
        <v>4</v>
      </c>
      <c r="E521" s="1">
        <v>45446</v>
      </c>
      <c r="F521">
        <v>13</v>
      </c>
      <c r="G521">
        <v>630.23</v>
      </c>
      <c r="H521" t="s">
        <v>11</v>
      </c>
      <c r="I521" cm="1">
        <f t="array" ref="I521">_xlfn.IFS(H521="Credit Card",1,H521="PayPal",2,H521="Cash",3,H521="Bank Transfer",4,TRUE,5)</f>
        <v>2</v>
      </c>
    </row>
    <row r="522" spans="1:9" x14ac:dyDescent="0.3">
      <c r="A522">
        <v>494</v>
      </c>
      <c r="B522">
        <v>976</v>
      </c>
      <c r="C522">
        <v>718</v>
      </c>
      <c r="D522">
        <v>2</v>
      </c>
      <c r="E522" s="1">
        <v>45330</v>
      </c>
      <c r="F522">
        <v>9</v>
      </c>
      <c r="G522">
        <v>1345.6</v>
      </c>
      <c r="H522" t="s">
        <v>11</v>
      </c>
      <c r="I522" cm="1">
        <f t="array" ref="I522">_xlfn.IFS(H522="Credit Card",1,H522="PayPal",2,H522="Cash",3,H522="Bank Transfer",4,TRUE,5)</f>
        <v>2</v>
      </c>
    </row>
    <row r="523" spans="1:9" x14ac:dyDescent="0.3">
      <c r="A523">
        <v>495</v>
      </c>
      <c r="B523">
        <v>222</v>
      </c>
      <c r="C523">
        <v>938</v>
      </c>
      <c r="D523">
        <v>4</v>
      </c>
      <c r="E523" s="1">
        <v>45369</v>
      </c>
      <c r="F523">
        <v>14</v>
      </c>
      <c r="G523">
        <v>1977.07</v>
      </c>
      <c r="H523" t="s">
        <v>11</v>
      </c>
      <c r="I523" cm="1">
        <f t="array" ref="I523">_xlfn.IFS(H523="Credit Card",1,H523="PayPal",2,H523="Cash",3,H523="Bank Transfer",4,TRUE,5)</f>
        <v>2</v>
      </c>
    </row>
    <row r="524" spans="1:9" x14ac:dyDescent="0.3">
      <c r="A524">
        <v>496</v>
      </c>
      <c r="B524">
        <v>792</v>
      </c>
      <c r="C524">
        <v>431</v>
      </c>
      <c r="D524">
        <v>3</v>
      </c>
      <c r="E524" s="1">
        <v>45313</v>
      </c>
      <c r="F524">
        <v>16</v>
      </c>
      <c r="G524">
        <v>961.37</v>
      </c>
      <c r="H524" t="s">
        <v>9</v>
      </c>
      <c r="I524" cm="1">
        <f t="array" ref="I524">_xlfn.IFS(H524="Credit Card",1,H524="PayPal",2,H524="Cash",3,H524="Bank Transfer",4,TRUE,5)</f>
        <v>1</v>
      </c>
    </row>
    <row r="525" spans="1:9" x14ac:dyDescent="0.3">
      <c r="A525">
        <v>498</v>
      </c>
      <c r="B525">
        <v>848</v>
      </c>
      <c r="C525">
        <v>339</v>
      </c>
      <c r="D525">
        <v>4</v>
      </c>
      <c r="E525" s="1">
        <v>45575</v>
      </c>
      <c r="F525">
        <v>18</v>
      </c>
      <c r="G525">
        <v>609.44000000000005</v>
      </c>
      <c r="H525" t="s">
        <v>11</v>
      </c>
      <c r="I525" cm="1">
        <f t="array" ref="I525">_xlfn.IFS(H525="Credit Card",1,H525="PayPal",2,H525="Cash",3,H525="Bank Transfer",4,TRUE,5)</f>
        <v>2</v>
      </c>
    </row>
    <row r="526" spans="1:9" x14ac:dyDescent="0.3">
      <c r="A526">
        <v>499</v>
      </c>
      <c r="B526">
        <v>993</v>
      </c>
      <c r="C526">
        <v>206</v>
      </c>
      <c r="D526">
        <v>3</v>
      </c>
      <c r="E526" s="1">
        <v>45369</v>
      </c>
      <c r="F526">
        <v>15</v>
      </c>
      <c r="G526">
        <v>581.04999999999995</v>
      </c>
      <c r="H526" t="s">
        <v>8</v>
      </c>
      <c r="I526" cm="1">
        <f t="array" ref="I526">_xlfn.IFS(H526="Credit Card",1,H526="PayPal",2,H526="Cash",3,H526="Bank Transfer",4,TRUE,5)</f>
        <v>4</v>
      </c>
    </row>
    <row r="527" spans="1:9" x14ac:dyDescent="0.3">
      <c r="A527">
        <v>501</v>
      </c>
      <c r="B527">
        <v>625</v>
      </c>
      <c r="C527">
        <v>439</v>
      </c>
      <c r="D527">
        <v>1</v>
      </c>
      <c r="E527" s="1">
        <v>45526</v>
      </c>
      <c r="F527">
        <v>1</v>
      </c>
      <c r="G527">
        <v>705.04</v>
      </c>
      <c r="H527" t="s">
        <v>10</v>
      </c>
      <c r="I527" cm="1">
        <f t="array" ref="I527">_xlfn.IFS(H527="Credit Card",1,H527="PayPal",2,H527="Cash",3,H527="Bank Transfer",4,TRUE,5)</f>
        <v>3</v>
      </c>
    </row>
    <row r="528" spans="1:9" x14ac:dyDescent="0.3">
      <c r="A528">
        <v>502</v>
      </c>
      <c r="B528">
        <v>835</v>
      </c>
      <c r="C528">
        <v>271</v>
      </c>
      <c r="D528">
        <v>2</v>
      </c>
      <c r="E528" s="1">
        <v>45459</v>
      </c>
      <c r="F528">
        <v>8</v>
      </c>
      <c r="G528">
        <v>1674.21</v>
      </c>
      <c r="H528" t="s">
        <v>11</v>
      </c>
      <c r="I528" cm="1">
        <f t="array" ref="I528">_xlfn.IFS(H528="Credit Card",1,H528="PayPal",2,H528="Cash",3,H528="Bank Transfer",4,TRUE,5)</f>
        <v>2</v>
      </c>
    </row>
    <row r="529" spans="1:9" x14ac:dyDescent="0.3">
      <c r="A529">
        <v>503</v>
      </c>
      <c r="B529">
        <v>311</v>
      </c>
      <c r="C529">
        <v>805</v>
      </c>
      <c r="D529">
        <v>2</v>
      </c>
      <c r="E529" s="1">
        <v>45404</v>
      </c>
      <c r="F529">
        <v>3</v>
      </c>
      <c r="G529">
        <v>170.97</v>
      </c>
      <c r="H529" t="s">
        <v>10</v>
      </c>
      <c r="I529" cm="1">
        <f t="array" ref="I529">_xlfn.IFS(H529="Credit Card",1,H529="PayPal",2,H529="Cash",3,H529="Bank Transfer",4,TRUE,5)</f>
        <v>3</v>
      </c>
    </row>
    <row r="530" spans="1:9" x14ac:dyDescent="0.3">
      <c r="A530">
        <v>504</v>
      </c>
      <c r="B530">
        <v>74</v>
      </c>
      <c r="C530">
        <v>498</v>
      </c>
      <c r="D530">
        <v>2</v>
      </c>
      <c r="E530" s="1">
        <v>45442</v>
      </c>
      <c r="F530">
        <v>10</v>
      </c>
      <c r="G530">
        <v>166.96</v>
      </c>
      <c r="H530" t="s">
        <v>9</v>
      </c>
      <c r="I530" cm="1">
        <f t="array" ref="I530">_xlfn.IFS(H530="Credit Card",1,H530="PayPal",2,H530="Cash",3,H530="Bank Transfer",4,TRUE,5)</f>
        <v>1</v>
      </c>
    </row>
    <row r="531" spans="1:9" x14ac:dyDescent="0.3">
      <c r="A531">
        <v>505</v>
      </c>
      <c r="B531">
        <v>272</v>
      </c>
      <c r="C531">
        <v>881</v>
      </c>
      <c r="D531">
        <v>5</v>
      </c>
      <c r="E531" s="1">
        <v>45383</v>
      </c>
      <c r="F531">
        <v>13</v>
      </c>
      <c r="G531">
        <v>1008</v>
      </c>
      <c r="H531" t="s">
        <v>11</v>
      </c>
      <c r="I531" cm="1">
        <f t="array" ref="I531">_xlfn.IFS(H531="Credit Card",1,H531="PayPal",2,H531="Cash",3,H531="Bank Transfer",4,TRUE,5)</f>
        <v>2</v>
      </c>
    </row>
    <row r="532" spans="1:9" x14ac:dyDescent="0.3">
      <c r="A532">
        <v>506</v>
      </c>
      <c r="B532">
        <v>67</v>
      </c>
      <c r="C532">
        <v>912</v>
      </c>
      <c r="D532">
        <v>1</v>
      </c>
      <c r="E532" s="1">
        <v>45534</v>
      </c>
      <c r="F532">
        <v>8</v>
      </c>
      <c r="G532">
        <v>1841.9</v>
      </c>
      <c r="H532" t="s">
        <v>11</v>
      </c>
      <c r="I532" cm="1">
        <f t="array" ref="I532">_xlfn.IFS(H532="Credit Card",1,H532="PayPal",2,H532="Cash",3,H532="Bank Transfer",4,TRUE,5)</f>
        <v>2</v>
      </c>
    </row>
    <row r="533" spans="1:9" x14ac:dyDescent="0.3">
      <c r="A533">
        <v>507</v>
      </c>
      <c r="B533">
        <v>443</v>
      </c>
      <c r="C533">
        <v>471</v>
      </c>
      <c r="D533">
        <v>3</v>
      </c>
      <c r="E533" s="1">
        <v>45381</v>
      </c>
      <c r="F533">
        <v>15</v>
      </c>
      <c r="G533">
        <v>227.4</v>
      </c>
      <c r="H533" t="s">
        <v>11</v>
      </c>
      <c r="I533" cm="1">
        <f t="array" ref="I533">_xlfn.IFS(H533="Credit Card",1,H533="PayPal",2,H533="Cash",3,H533="Bank Transfer",4,TRUE,5)</f>
        <v>2</v>
      </c>
    </row>
    <row r="534" spans="1:9" x14ac:dyDescent="0.3">
      <c r="A534">
        <v>508</v>
      </c>
      <c r="B534">
        <v>71</v>
      </c>
      <c r="C534">
        <v>401</v>
      </c>
      <c r="D534">
        <v>3</v>
      </c>
      <c r="E534" s="1">
        <v>45474</v>
      </c>
      <c r="F534">
        <v>19</v>
      </c>
      <c r="G534">
        <v>1926.31</v>
      </c>
      <c r="H534" t="s">
        <v>10</v>
      </c>
      <c r="I534" cm="1">
        <f t="array" ref="I534">_xlfn.IFS(H534="Credit Card",1,H534="PayPal",2,H534="Cash",3,H534="Bank Transfer",4,TRUE,5)</f>
        <v>3</v>
      </c>
    </row>
    <row r="535" spans="1:9" x14ac:dyDescent="0.3">
      <c r="A535">
        <v>509</v>
      </c>
      <c r="B535">
        <v>441</v>
      </c>
      <c r="C535">
        <v>593</v>
      </c>
      <c r="D535">
        <v>3</v>
      </c>
      <c r="E535" s="1">
        <v>45533</v>
      </c>
      <c r="F535">
        <v>15</v>
      </c>
      <c r="G535">
        <v>1698.84</v>
      </c>
      <c r="H535" t="s">
        <v>10</v>
      </c>
      <c r="I535" cm="1">
        <f t="array" ref="I535">_xlfn.IFS(H535="Credit Card",1,H535="PayPal",2,H535="Cash",3,H535="Bank Transfer",4,TRUE,5)</f>
        <v>3</v>
      </c>
    </row>
    <row r="536" spans="1:9" x14ac:dyDescent="0.3">
      <c r="A536">
        <v>510</v>
      </c>
      <c r="B536">
        <v>218</v>
      </c>
      <c r="C536">
        <v>146</v>
      </c>
      <c r="D536">
        <v>1</v>
      </c>
      <c r="E536" s="1">
        <v>45536</v>
      </c>
      <c r="F536">
        <v>11</v>
      </c>
      <c r="G536">
        <v>1569.99</v>
      </c>
      <c r="H536" t="s">
        <v>8</v>
      </c>
      <c r="I536" cm="1">
        <f t="array" ref="I536">_xlfn.IFS(H536="Credit Card",1,H536="PayPal",2,H536="Cash",3,H536="Bank Transfer",4,TRUE,5)</f>
        <v>4</v>
      </c>
    </row>
    <row r="537" spans="1:9" x14ac:dyDescent="0.3">
      <c r="A537">
        <v>511</v>
      </c>
      <c r="B537">
        <v>650</v>
      </c>
      <c r="C537">
        <v>716</v>
      </c>
      <c r="D537">
        <v>3</v>
      </c>
      <c r="E537" s="1">
        <v>45569</v>
      </c>
      <c r="F537">
        <v>15</v>
      </c>
      <c r="G537">
        <v>35.01</v>
      </c>
      <c r="H537" t="s">
        <v>10</v>
      </c>
      <c r="I537" cm="1">
        <f t="array" ref="I537">_xlfn.IFS(H537="Credit Card",1,H537="PayPal",2,H537="Cash",3,H537="Bank Transfer",4,TRUE,5)</f>
        <v>3</v>
      </c>
    </row>
    <row r="538" spans="1:9" x14ac:dyDescent="0.3">
      <c r="A538">
        <v>512</v>
      </c>
      <c r="B538">
        <v>344</v>
      </c>
      <c r="C538">
        <v>624</v>
      </c>
      <c r="D538">
        <v>5</v>
      </c>
      <c r="E538" s="1">
        <v>45440</v>
      </c>
      <c r="F538">
        <v>18</v>
      </c>
      <c r="G538">
        <v>229.35</v>
      </c>
      <c r="H538" t="s">
        <v>11</v>
      </c>
      <c r="I538" cm="1">
        <f t="array" ref="I538">_xlfn.IFS(H538="Credit Card",1,H538="PayPal",2,H538="Cash",3,H538="Bank Transfer",4,TRUE,5)</f>
        <v>2</v>
      </c>
    </row>
    <row r="539" spans="1:9" x14ac:dyDescent="0.3">
      <c r="A539">
        <v>513</v>
      </c>
      <c r="B539">
        <v>437</v>
      </c>
      <c r="C539">
        <v>361</v>
      </c>
      <c r="D539">
        <v>2</v>
      </c>
      <c r="E539" s="1">
        <v>45602</v>
      </c>
      <c r="F539">
        <v>3</v>
      </c>
      <c r="G539">
        <v>598.32000000000005</v>
      </c>
      <c r="H539" t="s">
        <v>9</v>
      </c>
      <c r="I539" cm="1">
        <f t="array" ref="I539">_xlfn.IFS(H539="Credit Card",1,H539="PayPal",2,H539="Cash",3,H539="Bank Transfer",4,TRUE,5)</f>
        <v>1</v>
      </c>
    </row>
    <row r="540" spans="1:9" x14ac:dyDescent="0.3">
      <c r="A540">
        <v>514</v>
      </c>
      <c r="B540">
        <v>486</v>
      </c>
      <c r="C540">
        <v>553</v>
      </c>
      <c r="D540">
        <v>3</v>
      </c>
      <c r="E540" s="1">
        <v>45408</v>
      </c>
      <c r="F540">
        <v>6</v>
      </c>
      <c r="G540">
        <v>1674.63</v>
      </c>
      <c r="H540" t="s">
        <v>10</v>
      </c>
      <c r="I540" cm="1">
        <f t="array" ref="I540">_xlfn.IFS(H540="Credit Card",1,H540="PayPal",2,H540="Cash",3,H540="Bank Transfer",4,TRUE,5)</f>
        <v>3</v>
      </c>
    </row>
    <row r="541" spans="1:9" x14ac:dyDescent="0.3">
      <c r="A541">
        <v>515</v>
      </c>
      <c r="B541">
        <v>584</v>
      </c>
      <c r="C541">
        <v>259</v>
      </c>
      <c r="D541">
        <v>1</v>
      </c>
      <c r="E541" s="1">
        <v>45389</v>
      </c>
      <c r="F541">
        <v>1</v>
      </c>
      <c r="G541">
        <v>1051.32</v>
      </c>
      <c r="H541" t="s">
        <v>9</v>
      </c>
      <c r="I541" cm="1">
        <f t="array" ref="I541">_xlfn.IFS(H541="Credit Card",1,H541="PayPal",2,H541="Cash",3,H541="Bank Transfer",4,TRUE,5)</f>
        <v>1</v>
      </c>
    </row>
    <row r="542" spans="1:9" x14ac:dyDescent="0.3">
      <c r="A542">
        <v>516</v>
      </c>
      <c r="B542">
        <v>633</v>
      </c>
      <c r="C542">
        <v>921</v>
      </c>
      <c r="D542">
        <v>1</v>
      </c>
      <c r="E542" s="1">
        <v>45307</v>
      </c>
      <c r="F542">
        <v>18</v>
      </c>
      <c r="G542">
        <v>15.57</v>
      </c>
      <c r="H542" t="s">
        <v>8</v>
      </c>
      <c r="I542" cm="1">
        <f t="array" ref="I542">_xlfn.IFS(H542="Credit Card",1,H542="PayPal",2,H542="Cash",3,H542="Bank Transfer",4,TRUE,5)</f>
        <v>4</v>
      </c>
    </row>
    <row r="543" spans="1:9" x14ac:dyDescent="0.3">
      <c r="A543">
        <v>517</v>
      </c>
      <c r="B543">
        <v>990</v>
      </c>
      <c r="C543">
        <v>60</v>
      </c>
      <c r="D543">
        <v>2</v>
      </c>
      <c r="E543" s="1">
        <v>45619</v>
      </c>
      <c r="F543">
        <v>20</v>
      </c>
      <c r="G543">
        <v>1506.69</v>
      </c>
      <c r="H543" t="s">
        <v>10</v>
      </c>
      <c r="I543" cm="1">
        <f t="array" ref="I543">_xlfn.IFS(H543="Credit Card",1,H543="PayPal",2,H543="Cash",3,H543="Bank Transfer",4,TRUE,5)</f>
        <v>3</v>
      </c>
    </row>
    <row r="544" spans="1:9" x14ac:dyDescent="0.3">
      <c r="A544">
        <v>518</v>
      </c>
      <c r="B544">
        <v>444</v>
      </c>
      <c r="C544">
        <v>261</v>
      </c>
      <c r="D544">
        <v>4</v>
      </c>
      <c r="E544" s="1">
        <v>45348</v>
      </c>
      <c r="F544">
        <v>12</v>
      </c>
      <c r="G544">
        <v>85.35</v>
      </c>
      <c r="H544" t="s">
        <v>10</v>
      </c>
      <c r="I544" cm="1">
        <f t="array" ref="I544">_xlfn.IFS(H544="Credit Card",1,H544="PayPal",2,H544="Cash",3,H544="Bank Transfer",4,TRUE,5)</f>
        <v>3</v>
      </c>
    </row>
    <row r="545" spans="1:9" x14ac:dyDescent="0.3">
      <c r="A545">
        <v>519</v>
      </c>
      <c r="B545">
        <v>663</v>
      </c>
      <c r="C545">
        <v>125</v>
      </c>
      <c r="D545">
        <v>5</v>
      </c>
      <c r="E545" s="1">
        <v>45569</v>
      </c>
      <c r="F545">
        <v>8</v>
      </c>
      <c r="G545">
        <v>1549.49</v>
      </c>
      <c r="H545" t="s">
        <v>11</v>
      </c>
      <c r="I545" cm="1">
        <f t="array" ref="I545">_xlfn.IFS(H545="Credit Card",1,H545="PayPal",2,H545="Cash",3,H545="Bank Transfer",4,TRUE,5)</f>
        <v>2</v>
      </c>
    </row>
    <row r="546" spans="1:9" x14ac:dyDescent="0.3">
      <c r="A546">
        <v>520</v>
      </c>
      <c r="B546">
        <v>174</v>
      </c>
      <c r="C546">
        <v>268</v>
      </c>
      <c r="D546">
        <v>2</v>
      </c>
      <c r="E546" s="1">
        <v>45529</v>
      </c>
      <c r="F546">
        <v>1</v>
      </c>
      <c r="G546">
        <v>1379.54</v>
      </c>
      <c r="H546" t="s">
        <v>9</v>
      </c>
      <c r="I546" cm="1">
        <f t="array" ref="I546">_xlfn.IFS(H546="Credit Card",1,H546="PayPal",2,H546="Cash",3,H546="Bank Transfer",4,TRUE,5)</f>
        <v>1</v>
      </c>
    </row>
    <row r="547" spans="1:9" x14ac:dyDescent="0.3">
      <c r="A547">
        <v>521</v>
      </c>
      <c r="B547">
        <v>106</v>
      </c>
      <c r="C547">
        <v>680</v>
      </c>
      <c r="D547">
        <v>3</v>
      </c>
      <c r="E547" s="1">
        <v>45506</v>
      </c>
      <c r="F547">
        <v>16</v>
      </c>
      <c r="G547">
        <v>1437.66</v>
      </c>
      <c r="H547" t="s">
        <v>11</v>
      </c>
      <c r="I547" cm="1">
        <f t="array" ref="I547">_xlfn.IFS(H547="Credit Card",1,H547="PayPal",2,H547="Cash",3,H547="Bank Transfer",4,TRUE,5)</f>
        <v>2</v>
      </c>
    </row>
    <row r="548" spans="1:9" x14ac:dyDescent="0.3">
      <c r="A548">
        <v>522</v>
      </c>
      <c r="B548">
        <v>472</v>
      </c>
      <c r="C548">
        <v>891</v>
      </c>
      <c r="D548">
        <v>5</v>
      </c>
      <c r="E548" s="1">
        <v>45509</v>
      </c>
      <c r="F548">
        <v>4</v>
      </c>
      <c r="G548">
        <v>532.16</v>
      </c>
      <c r="H548" t="s">
        <v>11</v>
      </c>
      <c r="I548" cm="1">
        <f t="array" ref="I548">_xlfn.IFS(H548="Credit Card",1,H548="PayPal",2,H548="Cash",3,H548="Bank Transfer",4,TRUE,5)</f>
        <v>2</v>
      </c>
    </row>
    <row r="549" spans="1:9" x14ac:dyDescent="0.3">
      <c r="A549">
        <v>523</v>
      </c>
      <c r="B549">
        <v>454</v>
      </c>
      <c r="C549">
        <v>369</v>
      </c>
      <c r="D549">
        <v>2</v>
      </c>
      <c r="E549" s="1">
        <v>45573</v>
      </c>
      <c r="F549">
        <v>13</v>
      </c>
      <c r="G549">
        <v>1744.75</v>
      </c>
      <c r="H549" t="s">
        <v>8</v>
      </c>
      <c r="I549" cm="1">
        <f t="array" ref="I549">_xlfn.IFS(H549="Credit Card",1,H549="PayPal",2,H549="Cash",3,H549="Bank Transfer",4,TRUE,5)</f>
        <v>4</v>
      </c>
    </row>
    <row r="550" spans="1:9" x14ac:dyDescent="0.3">
      <c r="A550">
        <v>524</v>
      </c>
      <c r="B550">
        <v>809</v>
      </c>
      <c r="C550">
        <v>829</v>
      </c>
      <c r="D550">
        <v>2</v>
      </c>
      <c r="E550" s="1">
        <v>45366</v>
      </c>
      <c r="F550">
        <v>20</v>
      </c>
      <c r="G550">
        <v>863.08</v>
      </c>
      <c r="H550" t="s">
        <v>9</v>
      </c>
      <c r="I550" cm="1">
        <f t="array" ref="I550">_xlfn.IFS(H550="Credit Card",1,H550="PayPal",2,H550="Cash",3,H550="Bank Transfer",4,TRUE,5)</f>
        <v>1</v>
      </c>
    </row>
    <row r="551" spans="1:9" x14ac:dyDescent="0.3">
      <c r="A551">
        <v>525</v>
      </c>
      <c r="B551">
        <v>875</v>
      </c>
      <c r="C551">
        <v>183</v>
      </c>
      <c r="D551">
        <v>3</v>
      </c>
      <c r="E551" s="1">
        <v>45535</v>
      </c>
      <c r="F551">
        <v>9</v>
      </c>
      <c r="G551">
        <v>403.73</v>
      </c>
      <c r="H551" t="s">
        <v>11</v>
      </c>
      <c r="I551" cm="1">
        <f t="array" ref="I551">_xlfn.IFS(H551="Credit Card",1,H551="PayPal",2,H551="Cash",3,H551="Bank Transfer",4,TRUE,5)</f>
        <v>2</v>
      </c>
    </row>
    <row r="552" spans="1:9" x14ac:dyDescent="0.3">
      <c r="A552">
        <v>526</v>
      </c>
      <c r="B552">
        <v>22</v>
      </c>
      <c r="C552">
        <v>744</v>
      </c>
      <c r="D552">
        <v>4</v>
      </c>
      <c r="E552" s="1">
        <v>45428</v>
      </c>
      <c r="F552">
        <v>12</v>
      </c>
      <c r="G552">
        <v>939.55</v>
      </c>
      <c r="H552" t="s">
        <v>11</v>
      </c>
      <c r="I552" cm="1">
        <f t="array" ref="I552">_xlfn.IFS(H552="Credit Card",1,H552="PayPal",2,H552="Cash",3,H552="Bank Transfer",4,TRUE,5)</f>
        <v>2</v>
      </c>
    </row>
    <row r="553" spans="1:9" x14ac:dyDescent="0.3">
      <c r="A553">
        <v>527</v>
      </c>
      <c r="B553">
        <v>165</v>
      </c>
      <c r="C553">
        <v>922</v>
      </c>
      <c r="D553">
        <v>3</v>
      </c>
      <c r="E553" s="1">
        <v>45356</v>
      </c>
      <c r="F553">
        <v>20</v>
      </c>
      <c r="G553">
        <v>938.13</v>
      </c>
      <c r="H553" t="s">
        <v>10</v>
      </c>
      <c r="I553" cm="1">
        <f t="array" ref="I553">_xlfn.IFS(H553="Credit Card",1,H553="PayPal",2,H553="Cash",3,H553="Bank Transfer",4,TRUE,5)</f>
        <v>3</v>
      </c>
    </row>
    <row r="554" spans="1:9" x14ac:dyDescent="0.3">
      <c r="A554">
        <v>529</v>
      </c>
      <c r="B554">
        <v>11</v>
      </c>
      <c r="C554">
        <v>225</v>
      </c>
      <c r="D554">
        <v>1</v>
      </c>
      <c r="E554" s="1">
        <v>45309</v>
      </c>
      <c r="F554">
        <v>3</v>
      </c>
      <c r="G554">
        <v>1568.26</v>
      </c>
      <c r="H554" t="s">
        <v>10</v>
      </c>
      <c r="I554" cm="1">
        <f t="array" ref="I554">_xlfn.IFS(H554="Credit Card",1,H554="PayPal",2,H554="Cash",3,H554="Bank Transfer",4,TRUE,5)</f>
        <v>3</v>
      </c>
    </row>
    <row r="555" spans="1:9" x14ac:dyDescent="0.3">
      <c r="A555">
        <v>530</v>
      </c>
      <c r="B555">
        <v>191</v>
      </c>
      <c r="C555">
        <v>592</v>
      </c>
      <c r="D555">
        <v>2</v>
      </c>
      <c r="E555" s="1">
        <v>45408</v>
      </c>
      <c r="F555">
        <v>19</v>
      </c>
      <c r="G555">
        <v>10.93</v>
      </c>
      <c r="H555" t="s">
        <v>8</v>
      </c>
      <c r="I555" cm="1">
        <f t="array" ref="I555">_xlfn.IFS(H555="Credit Card",1,H555="PayPal",2,H555="Cash",3,H555="Bank Transfer",4,TRUE,5)</f>
        <v>4</v>
      </c>
    </row>
    <row r="556" spans="1:9" x14ac:dyDescent="0.3">
      <c r="A556">
        <v>531</v>
      </c>
      <c r="B556">
        <v>273</v>
      </c>
      <c r="C556">
        <v>689</v>
      </c>
      <c r="D556">
        <v>3</v>
      </c>
      <c r="E556" s="1">
        <v>45587</v>
      </c>
      <c r="F556">
        <v>14</v>
      </c>
      <c r="G556">
        <v>364.09</v>
      </c>
      <c r="H556" t="s">
        <v>10</v>
      </c>
      <c r="I556" cm="1">
        <f t="array" ref="I556">_xlfn.IFS(H556="Credit Card",1,H556="PayPal",2,H556="Cash",3,H556="Bank Transfer",4,TRUE,5)</f>
        <v>3</v>
      </c>
    </row>
    <row r="557" spans="1:9" x14ac:dyDescent="0.3">
      <c r="A557">
        <v>532</v>
      </c>
      <c r="B557">
        <v>227</v>
      </c>
      <c r="C557">
        <v>149</v>
      </c>
      <c r="D557">
        <v>5</v>
      </c>
      <c r="E557" s="1">
        <v>45356</v>
      </c>
      <c r="F557">
        <v>1</v>
      </c>
      <c r="G557">
        <v>452.39</v>
      </c>
      <c r="H557" t="s">
        <v>8</v>
      </c>
      <c r="I557" cm="1">
        <f t="array" ref="I557">_xlfn.IFS(H557="Credit Card",1,H557="PayPal",2,H557="Cash",3,H557="Bank Transfer",4,TRUE,5)</f>
        <v>4</v>
      </c>
    </row>
    <row r="558" spans="1:9" x14ac:dyDescent="0.3">
      <c r="A558">
        <v>533</v>
      </c>
      <c r="B558">
        <v>129</v>
      </c>
      <c r="C558">
        <v>720</v>
      </c>
      <c r="D558">
        <v>1</v>
      </c>
      <c r="E558" s="1">
        <v>45366</v>
      </c>
      <c r="F558">
        <v>7</v>
      </c>
      <c r="G558">
        <v>1361.04</v>
      </c>
      <c r="H558" t="s">
        <v>8</v>
      </c>
      <c r="I558" cm="1">
        <f t="array" ref="I558">_xlfn.IFS(H558="Credit Card",1,H558="PayPal",2,H558="Cash",3,H558="Bank Transfer",4,TRUE,5)</f>
        <v>4</v>
      </c>
    </row>
    <row r="559" spans="1:9" x14ac:dyDescent="0.3">
      <c r="A559">
        <v>534</v>
      </c>
      <c r="B559">
        <v>986</v>
      </c>
      <c r="C559">
        <v>916</v>
      </c>
      <c r="D559">
        <v>4</v>
      </c>
      <c r="E559" s="1">
        <v>45466</v>
      </c>
      <c r="F559">
        <v>1</v>
      </c>
      <c r="G559">
        <v>351.55</v>
      </c>
      <c r="H559" t="s">
        <v>10</v>
      </c>
      <c r="I559" cm="1">
        <f t="array" ref="I559">_xlfn.IFS(H559="Credit Card",1,H559="PayPal",2,H559="Cash",3,H559="Bank Transfer",4,TRUE,5)</f>
        <v>3</v>
      </c>
    </row>
    <row r="560" spans="1:9" x14ac:dyDescent="0.3">
      <c r="A560">
        <v>535</v>
      </c>
      <c r="B560">
        <v>940</v>
      </c>
      <c r="C560">
        <v>862</v>
      </c>
      <c r="D560">
        <v>5</v>
      </c>
      <c r="E560" s="1">
        <v>45548</v>
      </c>
      <c r="F560">
        <v>19</v>
      </c>
      <c r="G560">
        <v>759.42</v>
      </c>
      <c r="H560" t="s">
        <v>9</v>
      </c>
      <c r="I560" cm="1">
        <f t="array" ref="I560">_xlfn.IFS(H560="Credit Card",1,H560="PayPal",2,H560="Cash",3,H560="Bank Transfer",4,TRUE,5)</f>
        <v>1</v>
      </c>
    </row>
    <row r="561" spans="1:9" x14ac:dyDescent="0.3">
      <c r="A561">
        <v>536</v>
      </c>
      <c r="B561">
        <v>172</v>
      </c>
      <c r="C561">
        <v>500</v>
      </c>
      <c r="D561">
        <v>4</v>
      </c>
      <c r="E561" s="1">
        <v>45613</v>
      </c>
      <c r="F561">
        <v>15</v>
      </c>
      <c r="G561">
        <v>1906.56</v>
      </c>
      <c r="H561" t="s">
        <v>10</v>
      </c>
      <c r="I561" cm="1">
        <f t="array" ref="I561">_xlfn.IFS(H561="Credit Card",1,H561="PayPal",2,H561="Cash",3,H561="Bank Transfer",4,TRUE,5)</f>
        <v>3</v>
      </c>
    </row>
    <row r="562" spans="1:9" x14ac:dyDescent="0.3">
      <c r="A562">
        <v>537</v>
      </c>
      <c r="B562">
        <v>3</v>
      </c>
      <c r="C562">
        <v>562</v>
      </c>
      <c r="D562">
        <v>4</v>
      </c>
      <c r="E562" s="1">
        <v>45425</v>
      </c>
      <c r="F562">
        <v>15</v>
      </c>
      <c r="G562">
        <v>159.93</v>
      </c>
      <c r="H562" t="s">
        <v>9</v>
      </c>
      <c r="I562" cm="1">
        <f t="array" ref="I562">_xlfn.IFS(H562="Credit Card",1,H562="PayPal",2,H562="Cash",3,H562="Bank Transfer",4,TRUE,5)</f>
        <v>1</v>
      </c>
    </row>
    <row r="563" spans="1:9" x14ac:dyDescent="0.3">
      <c r="A563">
        <v>538</v>
      </c>
      <c r="B563">
        <v>344</v>
      </c>
      <c r="C563">
        <v>864</v>
      </c>
      <c r="D563">
        <v>5</v>
      </c>
      <c r="E563" s="1">
        <v>45306</v>
      </c>
      <c r="F563">
        <v>12</v>
      </c>
      <c r="G563">
        <v>1014.85</v>
      </c>
      <c r="H563" t="s">
        <v>11</v>
      </c>
      <c r="I563" cm="1">
        <f t="array" ref="I563">_xlfn.IFS(H563="Credit Card",1,H563="PayPal",2,H563="Cash",3,H563="Bank Transfer",4,TRUE,5)</f>
        <v>2</v>
      </c>
    </row>
    <row r="564" spans="1:9" x14ac:dyDescent="0.3">
      <c r="A564">
        <v>539</v>
      </c>
      <c r="B564">
        <v>91</v>
      </c>
      <c r="C564">
        <v>547</v>
      </c>
      <c r="D564">
        <v>5</v>
      </c>
      <c r="E564" s="1">
        <v>45489</v>
      </c>
      <c r="F564">
        <v>10</v>
      </c>
      <c r="G564">
        <v>1210.54</v>
      </c>
      <c r="H564" t="s">
        <v>11</v>
      </c>
      <c r="I564" cm="1">
        <f t="array" ref="I564">_xlfn.IFS(H564="Credit Card",1,H564="PayPal",2,H564="Cash",3,H564="Bank Transfer",4,TRUE,5)</f>
        <v>2</v>
      </c>
    </row>
    <row r="565" spans="1:9" x14ac:dyDescent="0.3">
      <c r="A565">
        <v>540</v>
      </c>
      <c r="B565">
        <v>326</v>
      </c>
      <c r="C565">
        <v>179</v>
      </c>
      <c r="D565">
        <v>1</v>
      </c>
      <c r="E565" s="1">
        <v>45329</v>
      </c>
      <c r="F565">
        <v>13</v>
      </c>
      <c r="G565">
        <v>1801.23</v>
      </c>
      <c r="H565" t="s">
        <v>11</v>
      </c>
      <c r="I565" cm="1">
        <f t="array" ref="I565">_xlfn.IFS(H565="Credit Card",1,H565="PayPal",2,H565="Cash",3,H565="Bank Transfer",4,TRUE,5)</f>
        <v>2</v>
      </c>
    </row>
    <row r="566" spans="1:9" x14ac:dyDescent="0.3">
      <c r="A566">
        <v>541</v>
      </c>
      <c r="B566">
        <v>223</v>
      </c>
      <c r="C566">
        <v>630</v>
      </c>
      <c r="D566">
        <v>2</v>
      </c>
      <c r="E566" s="1">
        <v>45500</v>
      </c>
      <c r="F566">
        <v>4</v>
      </c>
      <c r="G566">
        <v>385.45</v>
      </c>
      <c r="H566" t="s">
        <v>10</v>
      </c>
      <c r="I566" cm="1">
        <f t="array" ref="I566">_xlfn.IFS(H566="Credit Card",1,H566="PayPal",2,H566="Cash",3,H566="Bank Transfer",4,TRUE,5)</f>
        <v>3</v>
      </c>
    </row>
    <row r="567" spans="1:9" x14ac:dyDescent="0.3">
      <c r="A567">
        <v>542</v>
      </c>
      <c r="B567">
        <v>109</v>
      </c>
      <c r="C567">
        <v>140</v>
      </c>
      <c r="D567">
        <v>1</v>
      </c>
      <c r="E567" s="1">
        <v>45408</v>
      </c>
      <c r="F567">
        <v>7</v>
      </c>
      <c r="G567">
        <v>117.32</v>
      </c>
      <c r="H567" t="s">
        <v>9</v>
      </c>
      <c r="I567" cm="1">
        <f t="array" ref="I567">_xlfn.IFS(H567="Credit Card",1,H567="PayPal",2,H567="Cash",3,H567="Bank Transfer",4,TRUE,5)</f>
        <v>1</v>
      </c>
    </row>
    <row r="568" spans="1:9" x14ac:dyDescent="0.3">
      <c r="A568">
        <v>543</v>
      </c>
      <c r="B568">
        <v>15</v>
      </c>
      <c r="C568">
        <v>437</v>
      </c>
      <c r="D568">
        <v>5</v>
      </c>
      <c r="E568" s="1">
        <v>45520</v>
      </c>
      <c r="F568">
        <v>18</v>
      </c>
      <c r="G568">
        <v>677.78</v>
      </c>
      <c r="H568" t="s">
        <v>8</v>
      </c>
      <c r="I568" cm="1">
        <f t="array" ref="I568">_xlfn.IFS(H568="Credit Card",1,H568="PayPal",2,H568="Cash",3,H568="Bank Transfer",4,TRUE,5)</f>
        <v>4</v>
      </c>
    </row>
    <row r="569" spans="1:9" x14ac:dyDescent="0.3">
      <c r="A569">
        <v>544</v>
      </c>
      <c r="B569">
        <v>271</v>
      </c>
      <c r="C569">
        <v>913</v>
      </c>
      <c r="D569">
        <v>1</v>
      </c>
      <c r="E569" s="1">
        <v>45550</v>
      </c>
      <c r="F569">
        <v>13</v>
      </c>
      <c r="G569">
        <v>487.24</v>
      </c>
      <c r="H569" t="s">
        <v>8</v>
      </c>
      <c r="I569" cm="1">
        <f t="array" ref="I569">_xlfn.IFS(H569="Credit Card",1,H569="PayPal",2,H569="Cash",3,H569="Bank Transfer",4,TRUE,5)</f>
        <v>4</v>
      </c>
    </row>
    <row r="570" spans="1:9" x14ac:dyDescent="0.3">
      <c r="A570">
        <v>545</v>
      </c>
      <c r="B570">
        <v>68</v>
      </c>
      <c r="C570">
        <v>687</v>
      </c>
      <c r="D570">
        <v>5</v>
      </c>
      <c r="E570" s="1">
        <v>45526</v>
      </c>
      <c r="F570">
        <v>18</v>
      </c>
      <c r="G570">
        <v>530.21</v>
      </c>
      <c r="H570" t="s">
        <v>10</v>
      </c>
      <c r="I570" cm="1">
        <f t="array" ref="I570">_xlfn.IFS(H570="Credit Card",1,H570="PayPal",2,H570="Cash",3,H570="Bank Transfer",4,TRUE,5)</f>
        <v>3</v>
      </c>
    </row>
    <row r="571" spans="1:9" x14ac:dyDescent="0.3">
      <c r="A571">
        <v>546</v>
      </c>
      <c r="B571">
        <v>332</v>
      </c>
      <c r="C571">
        <v>980</v>
      </c>
      <c r="D571">
        <v>4</v>
      </c>
      <c r="E571" s="1">
        <v>45589</v>
      </c>
      <c r="F571">
        <v>20</v>
      </c>
      <c r="G571">
        <v>992.54</v>
      </c>
      <c r="H571" t="s">
        <v>10</v>
      </c>
      <c r="I571" cm="1">
        <f t="array" ref="I571">_xlfn.IFS(H571="Credit Card",1,H571="PayPal",2,H571="Cash",3,H571="Bank Transfer",4,TRUE,5)</f>
        <v>3</v>
      </c>
    </row>
    <row r="572" spans="1:9" x14ac:dyDescent="0.3">
      <c r="A572">
        <v>547</v>
      </c>
      <c r="B572">
        <v>926</v>
      </c>
      <c r="C572">
        <v>974</v>
      </c>
      <c r="D572">
        <v>3</v>
      </c>
      <c r="E572" s="1">
        <v>45489</v>
      </c>
      <c r="F572">
        <v>8</v>
      </c>
      <c r="G572">
        <v>724.13</v>
      </c>
      <c r="H572" t="s">
        <v>8</v>
      </c>
      <c r="I572" cm="1">
        <f t="array" ref="I572">_xlfn.IFS(H572="Credit Card",1,H572="PayPal",2,H572="Cash",3,H572="Bank Transfer",4,TRUE,5)</f>
        <v>4</v>
      </c>
    </row>
    <row r="573" spans="1:9" x14ac:dyDescent="0.3">
      <c r="A573">
        <v>548</v>
      </c>
      <c r="B573">
        <v>227</v>
      </c>
      <c r="C573">
        <v>95</v>
      </c>
      <c r="D573">
        <v>1</v>
      </c>
      <c r="E573" s="1">
        <v>45559</v>
      </c>
      <c r="F573">
        <v>20</v>
      </c>
      <c r="G573">
        <v>633.83000000000004</v>
      </c>
      <c r="H573" t="s">
        <v>11</v>
      </c>
      <c r="I573" cm="1">
        <f t="array" ref="I573">_xlfn.IFS(H573="Credit Card",1,H573="PayPal",2,H573="Cash",3,H573="Bank Transfer",4,TRUE,5)</f>
        <v>2</v>
      </c>
    </row>
    <row r="574" spans="1:9" x14ac:dyDescent="0.3">
      <c r="A574">
        <v>550</v>
      </c>
      <c r="B574">
        <v>245</v>
      </c>
      <c r="C574">
        <v>861</v>
      </c>
      <c r="D574">
        <v>1</v>
      </c>
      <c r="E574" s="1">
        <v>45370</v>
      </c>
      <c r="F574">
        <v>20</v>
      </c>
      <c r="G574">
        <v>1712.91</v>
      </c>
      <c r="H574" t="s">
        <v>9</v>
      </c>
      <c r="I574" cm="1">
        <f t="array" ref="I574">_xlfn.IFS(H574="Credit Card",1,H574="PayPal",2,H574="Cash",3,H574="Bank Transfer",4,TRUE,5)</f>
        <v>1</v>
      </c>
    </row>
    <row r="575" spans="1:9" x14ac:dyDescent="0.3">
      <c r="A575">
        <v>551</v>
      </c>
      <c r="B575">
        <v>679</v>
      </c>
      <c r="C575">
        <v>988</v>
      </c>
      <c r="D575">
        <v>3</v>
      </c>
      <c r="E575" s="1">
        <v>45395</v>
      </c>
      <c r="F575">
        <v>2</v>
      </c>
      <c r="G575">
        <v>661.18</v>
      </c>
      <c r="H575" t="s">
        <v>10</v>
      </c>
      <c r="I575" cm="1">
        <f t="array" ref="I575">_xlfn.IFS(H575="Credit Card",1,H575="PayPal",2,H575="Cash",3,H575="Bank Transfer",4,TRUE,5)</f>
        <v>3</v>
      </c>
    </row>
    <row r="576" spans="1:9" x14ac:dyDescent="0.3">
      <c r="A576">
        <v>552</v>
      </c>
      <c r="B576">
        <v>10</v>
      </c>
      <c r="C576">
        <v>271</v>
      </c>
      <c r="D576">
        <v>3</v>
      </c>
      <c r="E576" s="1">
        <v>45564</v>
      </c>
      <c r="F576">
        <v>16</v>
      </c>
      <c r="G576">
        <v>814.1</v>
      </c>
      <c r="H576" t="s">
        <v>11</v>
      </c>
      <c r="I576" cm="1">
        <f t="array" ref="I576">_xlfn.IFS(H576="Credit Card",1,H576="PayPal",2,H576="Cash",3,H576="Bank Transfer",4,TRUE,5)</f>
        <v>2</v>
      </c>
    </row>
    <row r="577" spans="1:9" x14ac:dyDescent="0.3">
      <c r="A577">
        <v>553</v>
      </c>
      <c r="B577">
        <v>161</v>
      </c>
      <c r="C577">
        <v>327</v>
      </c>
      <c r="D577">
        <v>3</v>
      </c>
      <c r="E577" s="1">
        <v>45436</v>
      </c>
      <c r="F577">
        <v>19</v>
      </c>
      <c r="G577">
        <v>1641.29</v>
      </c>
      <c r="H577" t="s">
        <v>9</v>
      </c>
      <c r="I577" cm="1">
        <f t="array" ref="I577">_xlfn.IFS(H577="Credit Card",1,H577="PayPal",2,H577="Cash",3,H577="Bank Transfer",4,TRUE,5)</f>
        <v>1</v>
      </c>
    </row>
    <row r="578" spans="1:9" x14ac:dyDescent="0.3">
      <c r="A578">
        <v>554</v>
      </c>
      <c r="B578">
        <v>736</v>
      </c>
      <c r="C578">
        <v>511</v>
      </c>
      <c r="D578">
        <v>5</v>
      </c>
      <c r="E578" s="1">
        <v>45482</v>
      </c>
      <c r="F578">
        <v>17</v>
      </c>
      <c r="G578">
        <v>28.09</v>
      </c>
      <c r="H578" t="s">
        <v>9</v>
      </c>
      <c r="I578" cm="1">
        <f t="array" ref="I578">_xlfn.IFS(H578="Credit Card",1,H578="PayPal",2,H578="Cash",3,H578="Bank Transfer",4,TRUE,5)</f>
        <v>1</v>
      </c>
    </row>
    <row r="579" spans="1:9" x14ac:dyDescent="0.3">
      <c r="A579">
        <v>555</v>
      </c>
      <c r="B579">
        <v>304</v>
      </c>
      <c r="C579">
        <v>437</v>
      </c>
      <c r="D579">
        <v>3</v>
      </c>
      <c r="E579" s="1">
        <v>45505</v>
      </c>
      <c r="F579">
        <v>11</v>
      </c>
      <c r="G579">
        <v>1090.1400000000001</v>
      </c>
      <c r="H579" t="s">
        <v>10</v>
      </c>
      <c r="I579" cm="1">
        <f t="array" ref="I579">_xlfn.IFS(H579="Credit Card",1,H579="PayPal",2,H579="Cash",3,H579="Bank Transfer",4,TRUE,5)</f>
        <v>3</v>
      </c>
    </row>
    <row r="580" spans="1:9" x14ac:dyDescent="0.3">
      <c r="A580">
        <v>556</v>
      </c>
      <c r="B580">
        <v>303</v>
      </c>
      <c r="C580">
        <v>959</v>
      </c>
      <c r="D580">
        <v>5</v>
      </c>
      <c r="E580" s="1">
        <v>45425</v>
      </c>
      <c r="F580">
        <v>4</v>
      </c>
      <c r="G580">
        <v>1700.13</v>
      </c>
      <c r="H580" t="s">
        <v>10</v>
      </c>
      <c r="I580" cm="1">
        <f t="array" ref="I580">_xlfn.IFS(H580="Credit Card",1,H580="PayPal",2,H580="Cash",3,H580="Bank Transfer",4,TRUE,5)</f>
        <v>3</v>
      </c>
    </row>
    <row r="581" spans="1:9" x14ac:dyDescent="0.3">
      <c r="A581">
        <v>557</v>
      </c>
      <c r="B581">
        <v>560</v>
      </c>
      <c r="C581">
        <v>510</v>
      </c>
      <c r="D581">
        <v>3</v>
      </c>
      <c r="E581" s="1">
        <v>45321</v>
      </c>
      <c r="F581">
        <v>6</v>
      </c>
      <c r="G581">
        <v>1802.49</v>
      </c>
      <c r="H581" t="s">
        <v>8</v>
      </c>
      <c r="I581" cm="1">
        <f t="array" ref="I581">_xlfn.IFS(H581="Credit Card",1,H581="PayPal",2,H581="Cash",3,H581="Bank Transfer",4,TRUE,5)</f>
        <v>4</v>
      </c>
    </row>
    <row r="582" spans="1:9" x14ac:dyDescent="0.3">
      <c r="A582">
        <v>558</v>
      </c>
      <c r="B582">
        <v>993</v>
      </c>
      <c r="C582">
        <v>731</v>
      </c>
      <c r="D582">
        <v>1</v>
      </c>
      <c r="E582" s="1">
        <v>45363</v>
      </c>
      <c r="F582">
        <v>1</v>
      </c>
      <c r="G582">
        <v>550.38</v>
      </c>
      <c r="H582" t="s">
        <v>9</v>
      </c>
      <c r="I582" cm="1">
        <f t="array" ref="I582">_xlfn.IFS(H582="Credit Card",1,H582="PayPal",2,H582="Cash",3,H582="Bank Transfer",4,TRUE,5)</f>
        <v>1</v>
      </c>
    </row>
    <row r="583" spans="1:9" x14ac:dyDescent="0.3">
      <c r="A583">
        <v>559</v>
      </c>
      <c r="B583">
        <v>498</v>
      </c>
      <c r="C583">
        <v>822</v>
      </c>
      <c r="D583">
        <v>1</v>
      </c>
      <c r="E583" s="1">
        <v>45607</v>
      </c>
      <c r="F583">
        <v>12</v>
      </c>
      <c r="G583">
        <v>1155.8699999999999</v>
      </c>
      <c r="H583" t="s">
        <v>8</v>
      </c>
      <c r="I583" cm="1">
        <f t="array" ref="I583">_xlfn.IFS(H583="Credit Card",1,H583="PayPal",2,H583="Cash",3,H583="Bank Transfer",4,TRUE,5)</f>
        <v>4</v>
      </c>
    </row>
    <row r="584" spans="1:9" x14ac:dyDescent="0.3">
      <c r="A584">
        <v>560</v>
      </c>
      <c r="B584">
        <v>343</v>
      </c>
      <c r="C584">
        <v>992</v>
      </c>
      <c r="D584">
        <v>1</v>
      </c>
      <c r="E584" s="1">
        <v>45596</v>
      </c>
      <c r="F584">
        <v>9</v>
      </c>
      <c r="G584">
        <v>104</v>
      </c>
      <c r="H584" t="s">
        <v>9</v>
      </c>
      <c r="I584" cm="1">
        <f t="array" ref="I584">_xlfn.IFS(H584="Credit Card",1,H584="PayPal",2,H584="Cash",3,H584="Bank Transfer",4,TRUE,5)</f>
        <v>1</v>
      </c>
    </row>
    <row r="585" spans="1:9" x14ac:dyDescent="0.3">
      <c r="A585">
        <v>561</v>
      </c>
      <c r="B585">
        <v>686</v>
      </c>
      <c r="C585">
        <v>898</v>
      </c>
      <c r="D585">
        <v>1</v>
      </c>
      <c r="E585" s="1">
        <v>45312</v>
      </c>
      <c r="F585">
        <v>13</v>
      </c>
      <c r="G585">
        <v>315.24</v>
      </c>
      <c r="H585" t="s">
        <v>8</v>
      </c>
      <c r="I585" cm="1">
        <f t="array" ref="I585">_xlfn.IFS(H585="Credit Card",1,H585="PayPal",2,H585="Cash",3,H585="Bank Transfer",4,TRUE,5)</f>
        <v>4</v>
      </c>
    </row>
    <row r="586" spans="1:9" x14ac:dyDescent="0.3">
      <c r="A586">
        <v>562</v>
      </c>
      <c r="B586">
        <v>548</v>
      </c>
      <c r="C586">
        <v>302</v>
      </c>
      <c r="D586">
        <v>1</v>
      </c>
      <c r="E586" s="1">
        <v>45304</v>
      </c>
      <c r="F586">
        <v>1</v>
      </c>
      <c r="G586">
        <v>699.22</v>
      </c>
      <c r="H586" t="s">
        <v>9</v>
      </c>
      <c r="I586" cm="1">
        <f t="array" ref="I586">_xlfn.IFS(H586="Credit Card",1,H586="PayPal",2,H586="Cash",3,H586="Bank Transfer",4,TRUE,5)</f>
        <v>1</v>
      </c>
    </row>
    <row r="587" spans="1:9" x14ac:dyDescent="0.3">
      <c r="A587">
        <v>563</v>
      </c>
      <c r="B587">
        <v>206</v>
      </c>
      <c r="C587">
        <v>199</v>
      </c>
      <c r="D587">
        <v>2</v>
      </c>
      <c r="E587" s="1">
        <v>45460</v>
      </c>
      <c r="F587">
        <v>20</v>
      </c>
      <c r="G587">
        <v>521.88</v>
      </c>
      <c r="H587" t="s">
        <v>10</v>
      </c>
      <c r="I587" cm="1">
        <f t="array" ref="I587">_xlfn.IFS(H587="Credit Card",1,H587="PayPal",2,H587="Cash",3,H587="Bank Transfer",4,TRUE,5)</f>
        <v>3</v>
      </c>
    </row>
    <row r="588" spans="1:9" x14ac:dyDescent="0.3">
      <c r="A588">
        <v>565</v>
      </c>
      <c r="B588">
        <v>669</v>
      </c>
      <c r="C588">
        <v>188</v>
      </c>
      <c r="D588">
        <v>4</v>
      </c>
      <c r="E588" s="1">
        <v>45294</v>
      </c>
      <c r="F588">
        <v>13</v>
      </c>
      <c r="G588">
        <v>1025.18</v>
      </c>
      <c r="H588" t="s">
        <v>9</v>
      </c>
      <c r="I588" cm="1">
        <f t="array" ref="I588">_xlfn.IFS(H588="Credit Card",1,H588="PayPal",2,H588="Cash",3,H588="Bank Transfer",4,TRUE,5)</f>
        <v>1</v>
      </c>
    </row>
    <row r="589" spans="1:9" x14ac:dyDescent="0.3">
      <c r="A589">
        <v>566</v>
      </c>
      <c r="B589">
        <v>672</v>
      </c>
      <c r="C589">
        <v>824</v>
      </c>
      <c r="D589">
        <v>5</v>
      </c>
      <c r="E589" s="1">
        <v>45487</v>
      </c>
      <c r="F589">
        <v>8</v>
      </c>
      <c r="G589">
        <v>708.45</v>
      </c>
      <c r="H589" t="s">
        <v>10</v>
      </c>
      <c r="I589" cm="1">
        <f t="array" ref="I589">_xlfn.IFS(H589="Credit Card",1,H589="PayPal",2,H589="Cash",3,H589="Bank Transfer",4,TRUE,5)</f>
        <v>3</v>
      </c>
    </row>
    <row r="590" spans="1:9" x14ac:dyDescent="0.3">
      <c r="A590">
        <v>567</v>
      </c>
      <c r="B590">
        <v>871</v>
      </c>
      <c r="C590">
        <v>495</v>
      </c>
      <c r="D590">
        <v>4</v>
      </c>
      <c r="E590" s="1">
        <v>45423</v>
      </c>
      <c r="F590">
        <v>4</v>
      </c>
      <c r="G590">
        <v>1520.65</v>
      </c>
      <c r="H590" t="s">
        <v>11</v>
      </c>
      <c r="I590" cm="1">
        <f t="array" ref="I590">_xlfn.IFS(H590="Credit Card",1,H590="PayPal",2,H590="Cash",3,H590="Bank Transfer",4,TRUE,5)</f>
        <v>2</v>
      </c>
    </row>
    <row r="591" spans="1:9" x14ac:dyDescent="0.3">
      <c r="A591">
        <v>568</v>
      </c>
      <c r="B591">
        <v>681</v>
      </c>
      <c r="C591">
        <v>919</v>
      </c>
      <c r="D591">
        <v>2</v>
      </c>
      <c r="E591" s="1">
        <v>45474</v>
      </c>
      <c r="F591">
        <v>4</v>
      </c>
      <c r="G591">
        <v>713.67</v>
      </c>
      <c r="H591" t="s">
        <v>11</v>
      </c>
      <c r="I591" cm="1">
        <f t="array" ref="I591">_xlfn.IFS(H591="Credit Card",1,H591="PayPal",2,H591="Cash",3,H591="Bank Transfer",4,TRUE,5)</f>
        <v>2</v>
      </c>
    </row>
    <row r="592" spans="1:9" x14ac:dyDescent="0.3">
      <c r="A592">
        <v>569</v>
      </c>
      <c r="B592">
        <v>149</v>
      </c>
      <c r="C592">
        <v>131</v>
      </c>
      <c r="D592">
        <v>1</v>
      </c>
      <c r="E592" s="1">
        <v>45529</v>
      </c>
      <c r="F592">
        <v>14</v>
      </c>
      <c r="G592">
        <v>1890.16</v>
      </c>
      <c r="H592" t="s">
        <v>10</v>
      </c>
      <c r="I592" cm="1">
        <f t="array" ref="I592">_xlfn.IFS(H592="Credit Card",1,H592="PayPal",2,H592="Cash",3,H592="Bank Transfer",4,TRUE,5)</f>
        <v>3</v>
      </c>
    </row>
    <row r="593" spans="1:9" x14ac:dyDescent="0.3">
      <c r="A593">
        <v>570</v>
      </c>
      <c r="B593">
        <v>19</v>
      </c>
      <c r="C593">
        <v>48</v>
      </c>
      <c r="D593">
        <v>3</v>
      </c>
      <c r="E593" s="1">
        <v>45316</v>
      </c>
      <c r="F593">
        <v>5</v>
      </c>
      <c r="G593">
        <v>1252.0999999999999</v>
      </c>
      <c r="H593" t="s">
        <v>11</v>
      </c>
      <c r="I593" cm="1">
        <f t="array" ref="I593">_xlfn.IFS(H593="Credit Card",1,H593="PayPal",2,H593="Cash",3,H593="Bank Transfer",4,TRUE,5)</f>
        <v>2</v>
      </c>
    </row>
    <row r="594" spans="1:9" x14ac:dyDescent="0.3">
      <c r="A594">
        <v>571</v>
      </c>
      <c r="B594">
        <v>185</v>
      </c>
      <c r="C594">
        <v>943</v>
      </c>
      <c r="D594">
        <v>4</v>
      </c>
      <c r="E594" s="1">
        <v>45439</v>
      </c>
      <c r="F594">
        <v>13</v>
      </c>
      <c r="G594">
        <v>1961.99</v>
      </c>
      <c r="H594" t="s">
        <v>8</v>
      </c>
      <c r="I594" cm="1">
        <f t="array" ref="I594">_xlfn.IFS(H594="Credit Card",1,H594="PayPal",2,H594="Cash",3,H594="Bank Transfer",4,TRUE,5)</f>
        <v>4</v>
      </c>
    </row>
    <row r="595" spans="1:9" x14ac:dyDescent="0.3">
      <c r="A595">
        <v>572</v>
      </c>
      <c r="B595">
        <v>97</v>
      </c>
      <c r="C595">
        <v>13</v>
      </c>
      <c r="D595">
        <v>4</v>
      </c>
      <c r="E595" s="1">
        <v>45387</v>
      </c>
      <c r="F595">
        <v>15</v>
      </c>
      <c r="G595">
        <v>452.23</v>
      </c>
      <c r="H595" t="s">
        <v>10</v>
      </c>
      <c r="I595" cm="1">
        <f t="array" ref="I595">_xlfn.IFS(H595="Credit Card",1,H595="PayPal",2,H595="Cash",3,H595="Bank Transfer",4,TRUE,5)</f>
        <v>3</v>
      </c>
    </row>
    <row r="596" spans="1:9" x14ac:dyDescent="0.3">
      <c r="A596">
        <v>573</v>
      </c>
      <c r="B596">
        <v>808</v>
      </c>
      <c r="C596">
        <v>591</v>
      </c>
      <c r="D596">
        <v>5</v>
      </c>
      <c r="E596" s="1">
        <v>45508</v>
      </c>
      <c r="F596">
        <v>11</v>
      </c>
      <c r="G596">
        <v>1319.87</v>
      </c>
      <c r="H596" t="s">
        <v>8</v>
      </c>
      <c r="I596" cm="1">
        <f t="array" ref="I596">_xlfn.IFS(H596="Credit Card",1,H596="PayPal",2,H596="Cash",3,H596="Bank Transfer",4,TRUE,5)</f>
        <v>4</v>
      </c>
    </row>
    <row r="597" spans="1:9" x14ac:dyDescent="0.3">
      <c r="A597">
        <v>574</v>
      </c>
      <c r="B597">
        <v>543</v>
      </c>
      <c r="C597">
        <v>564</v>
      </c>
      <c r="D597">
        <v>4</v>
      </c>
      <c r="E597" s="1">
        <v>45562</v>
      </c>
      <c r="F597">
        <v>20</v>
      </c>
      <c r="G597">
        <v>347.45</v>
      </c>
      <c r="H597" t="s">
        <v>11</v>
      </c>
      <c r="I597" cm="1">
        <f t="array" ref="I597">_xlfn.IFS(H597="Credit Card",1,H597="PayPal",2,H597="Cash",3,H597="Bank Transfer",4,TRUE,5)</f>
        <v>2</v>
      </c>
    </row>
    <row r="598" spans="1:9" x14ac:dyDescent="0.3">
      <c r="A598">
        <v>575</v>
      </c>
      <c r="B598">
        <v>712</v>
      </c>
      <c r="C598">
        <v>714</v>
      </c>
      <c r="D598">
        <v>5</v>
      </c>
      <c r="E598" s="1">
        <v>45292</v>
      </c>
      <c r="F598">
        <v>18</v>
      </c>
      <c r="G598">
        <v>1067.1099999999999</v>
      </c>
      <c r="H598" t="s">
        <v>10</v>
      </c>
      <c r="I598" cm="1">
        <f t="array" ref="I598">_xlfn.IFS(H598="Credit Card",1,H598="PayPal",2,H598="Cash",3,H598="Bank Transfer",4,TRUE,5)</f>
        <v>3</v>
      </c>
    </row>
    <row r="599" spans="1:9" x14ac:dyDescent="0.3">
      <c r="A599">
        <v>576</v>
      </c>
      <c r="B599">
        <v>544</v>
      </c>
      <c r="C599">
        <v>186</v>
      </c>
      <c r="D599">
        <v>4</v>
      </c>
      <c r="E599" s="1">
        <v>45372</v>
      </c>
      <c r="F599">
        <v>8</v>
      </c>
      <c r="G599">
        <v>178.13</v>
      </c>
      <c r="H599" t="s">
        <v>9</v>
      </c>
      <c r="I599" cm="1">
        <f t="array" ref="I599">_xlfn.IFS(H599="Credit Card",1,H599="PayPal",2,H599="Cash",3,H599="Bank Transfer",4,TRUE,5)</f>
        <v>1</v>
      </c>
    </row>
    <row r="600" spans="1:9" x14ac:dyDescent="0.3">
      <c r="A600">
        <v>577</v>
      </c>
      <c r="B600">
        <v>56</v>
      </c>
      <c r="C600">
        <v>264</v>
      </c>
      <c r="D600">
        <v>3</v>
      </c>
      <c r="E600" s="1">
        <v>45435</v>
      </c>
      <c r="F600">
        <v>2</v>
      </c>
      <c r="G600">
        <v>1590.71</v>
      </c>
      <c r="H600" t="s">
        <v>9</v>
      </c>
      <c r="I600" cm="1">
        <f t="array" ref="I600">_xlfn.IFS(H600="Credit Card",1,H600="PayPal",2,H600="Cash",3,H600="Bank Transfer",4,TRUE,5)</f>
        <v>1</v>
      </c>
    </row>
    <row r="601" spans="1:9" x14ac:dyDescent="0.3">
      <c r="A601">
        <v>578</v>
      </c>
      <c r="B601">
        <v>454</v>
      </c>
      <c r="C601">
        <v>501</v>
      </c>
      <c r="D601">
        <v>5</v>
      </c>
      <c r="E601" s="1">
        <v>45360</v>
      </c>
      <c r="F601">
        <v>12</v>
      </c>
      <c r="G601">
        <v>911.67</v>
      </c>
      <c r="H601" t="s">
        <v>9</v>
      </c>
      <c r="I601" cm="1">
        <f t="array" ref="I601">_xlfn.IFS(H601="Credit Card",1,H601="PayPal",2,H601="Cash",3,H601="Bank Transfer",4,TRUE,5)</f>
        <v>1</v>
      </c>
    </row>
    <row r="602" spans="1:9" x14ac:dyDescent="0.3">
      <c r="A602">
        <v>579</v>
      </c>
      <c r="B602">
        <v>390</v>
      </c>
      <c r="C602">
        <v>232</v>
      </c>
      <c r="D602">
        <v>3</v>
      </c>
      <c r="E602" s="1">
        <v>45348</v>
      </c>
      <c r="F602">
        <v>2</v>
      </c>
      <c r="G602">
        <v>1990.73</v>
      </c>
      <c r="H602" t="s">
        <v>11</v>
      </c>
      <c r="I602" cm="1">
        <f t="array" ref="I602">_xlfn.IFS(H602="Credit Card",1,H602="PayPal",2,H602="Cash",3,H602="Bank Transfer",4,TRUE,5)</f>
        <v>2</v>
      </c>
    </row>
    <row r="603" spans="1:9" x14ac:dyDescent="0.3">
      <c r="A603">
        <v>581</v>
      </c>
      <c r="B603">
        <v>773</v>
      </c>
      <c r="C603">
        <v>980</v>
      </c>
      <c r="D603">
        <v>2</v>
      </c>
      <c r="E603" s="1">
        <v>45590</v>
      </c>
      <c r="F603">
        <v>13</v>
      </c>
      <c r="G603">
        <v>882.37</v>
      </c>
      <c r="H603" t="s">
        <v>10</v>
      </c>
      <c r="I603" cm="1">
        <f t="array" ref="I603">_xlfn.IFS(H603="Credit Card",1,H603="PayPal",2,H603="Cash",3,H603="Bank Transfer",4,TRUE,5)</f>
        <v>3</v>
      </c>
    </row>
    <row r="604" spans="1:9" x14ac:dyDescent="0.3">
      <c r="A604">
        <v>582</v>
      </c>
      <c r="B604">
        <v>468</v>
      </c>
      <c r="C604">
        <v>69</v>
      </c>
      <c r="D604">
        <v>1</v>
      </c>
      <c r="E604" s="1">
        <v>45401</v>
      </c>
      <c r="F604">
        <v>8</v>
      </c>
      <c r="G604">
        <v>1753.12</v>
      </c>
      <c r="H604" t="s">
        <v>9</v>
      </c>
      <c r="I604" cm="1">
        <f t="array" ref="I604">_xlfn.IFS(H604="Credit Card",1,H604="PayPal",2,H604="Cash",3,H604="Bank Transfer",4,TRUE,5)</f>
        <v>1</v>
      </c>
    </row>
    <row r="605" spans="1:9" x14ac:dyDescent="0.3">
      <c r="A605">
        <v>583</v>
      </c>
      <c r="B605">
        <v>192</v>
      </c>
      <c r="C605">
        <v>346</v>
      </c>
      <c r="D605">
        <v>3</v>
      </c>
      <c r="E605" s="1">
        <v>45599</v>
      </c>
      <c r="F605">
        <v>5</v>
      </c>
      <c r="G605">
        <v>286.37</v>
      </c>
      <c r="H605" t="s">
        <v>9</v>
      </c>
      <c r="I605" cm="1">
        <f t="array" ref="I605">_xlfn.IFS(H605="Credit Card",1,H605="PayPal",2,H605="Cash",3,H605="Bank Transfer",4,TRUE,5)</f>
        <v>1</v>
      </c>
    </row>
    <row r="606" spans="1:9" x14ac:dyDescent="0.3">
      <c r="A606">
        <v>584</v>
      </c>
      <c r="B606">
        <v>297</v>
      </c>
      <c r="C606">
        <v>416</v>
      </c>
      <c r="D606">
        <v>5</v>
      </c>
      <c r="E606" s="1">
        <v>45436</v>
      </c>
      <c r="F606">
        <v>17</v>
      </c>
      <c r="G606">
        <v>837.58</v>
      </c>
      <c r="H606" t="s">
        <v>10</v>
      </c>
      <c r="I606" cm="1">
        <f t="array" ref="I606">_xlfn.IFS(H606="Credit Card",1,H606="PayPal",2,H606="Cash",3,H606="Bank Transfer",4,TRUE,5)</f>
        <v>3</v>
      </c>
    </row>
    <row r="607" spans="1:9" x14ac:dyDescent="0.3">
      <c r="A607">
        <v>585</v>
      </c>
      <c r="B607">
        <v>87</v>
      </c>
      <c r="C607">
        <v>164</v>
      </c>
      <c r="D607">
        <v>2</v>
      </c>
      <c r="E607" s="1">
        <v>45466</v>
      </c>
      <c r="F607">
        <v>15</v>
      </c>
      <c r="G607">
        <v>605.51</v>
      </c>
      <c r="H607" t="s">
        <v>8</v>
      </c>
      <c r="I607" cm="1">
        <f t="array" ref="I607">_xlfn.IFS(H607="Credit Card",1,H607="PayPal",2,H607="Cash",3,H607="Bank Transfer",4,TRUE,5)</f>
        <v>4</v>
      </c>
    </row>
    <row r="608" spans="1:9" x14ac:dyDescent="0.3">
      <c r="A608">
        <v>586</v>
      </c>
      <c r="B608">
        <v>507</v>
      </c>
      <c r="C608">
        <v>909</v>
      </c>
      <c r="D608">
        <v>1</v>
      </c>
      <c r="E608" s="1">
        <v>45475</v>
      </c>
      <c r="F608">
        <v>14</v>
      </c>
      <c r="G608">
        <v>1335.96</v>
      </c>
      <c r="H608" t="s">
        <v>11</v>
      </c>
      <c r="I608" cm="1">
        <f t="array" ref="I608">_xlfn.IFS(H608="Credit Card",1,H608="PayPal",2,H608="Cash",3,H608="Bank Transfer",4,TRUE,5)</f>
        <v>2</v>
      </c>
    </row>
    <row r="609" spans="1:9" x14ac:dyDescent="0.3">
      <c r="A609">
        <v>587</v>
      </c>
      <c r="B609">
        <v>994</v>
      </c>
      <c r="C609">
        <v>275</v>
      </c>
      <c r="D609">
        <v>4</v>
      </c>
      <c r="E609" s="1">
        <v>45423</v>
      </c>
      <c r="F609">
        <v>16</v>
      </c>
      <c r="G609">
        <v>922.33</v>
      </c>
      <c r="H609" t="s">
        <v>11</v>
      </c>
      <c r="I609" cm="1">
        <f t="array" ref="I609">_xlfn.IFS(H609="Credit Card",1,H609="PayPal",2,H609="Cash",3,H609="Bank Transfer",4,TRUE,5)</f>
        <v>2</v>
      </c>
    </row>
    <row r="610" spans="1:9" x14ac:dyDescent="0.3">
      <c r="A610">
        <v>588</v>
      </c>
      <c r="B610">
        <v>326</v>
      </c>
      <c r="C610">
        <v>890</v>
      </c>
      <c r="D610">
        <v>3</v>
      </c>
      <c r="E610" s="1">
        <v>45324</v>
      </c>
      <c r="F610">
        <v>16</v>
      </c>
      <c r="G610">
        <v>1750.62</v>
      </c>
      <c r="H610" t="s">
        <v>10</v>
      </c>
      <c r="I610" cm="1">
        <f t="array" ref="I610">_xlfn.IFS(H610="Credit Card",1,H610="PayPal",2,H610="Cash",3,H610="Bank Transfer",4,TRUE,5)</f>
        <v>3</v>
      </c>
    </row>
    <row r="611" spans="1:9" x14ac:dyDescent="0.3">
      <c r="A611">
        <v>589</v>
      </c>
      <c r="B611">
        <v>633</v>
      </c>
      <c r="C611">
        <v>207</v>
      </c>
      <c r="D611">
        <v>2</v>
      </c>
      <c r="E611" s="1">
        <v>45500</v>
      </c>
      <c r="F611">
        <v>7</v>
      </c>
      <c r="G611">
        <v>1694.2</v>
      </c>
      <c r="H611" t="s">
        <v>11</v>
      </c>
      <c r="I611" cm="1">
        <f t="array" ref="I611">_xlfn.IFS(H611="Credit Card",1,H611="PayPal",2,H611="Cash",3,H611="Bank Transfer",4,TRUE,5)</f>
        <v>2</v>
      </c>
    </row>
    <row r="612" spans="1:9" x14ac:dyDescent="0.3">
      <c r="A612">
        <v>590</v>
      </c>
      <c r="B612">
        <v>541</v>
      </c>
      <c r="C612">
        <v>599</v>
      </c>
      <c r="D612">
        <v>3</v>
      </c>
      <c r="E612" s="1">
        <v>45298</v>
      </c>
      <c r="F612">
        <v>16</v>
      </c>
      <c r="G612">
        <v>1963.79</v>
      </c>
      <c r="H612" t="s">
        <v>10</v>
      </c>
      <c r="I612" cm="1">
        <f t="array" ref="I612">_xlfn.IFS(H612="Credit Card",1,H612="PayPal",2,H612="Cash",3,H612="Bank Transfer",4,TRUE,5)</f>
        <v>3</v>
      </c>
    </row>
    <row r="613" spans="1:9" x14ac:dyDescent="0.3">
      <c r="A613">
        <v>591</v>
      </c>
      <c r="B613">
        <v>212</v>
      </c>
      <c r="C613">
        <v>694</v>
      </c>
      <c r="D613">
        <v>1</v>
      </c>
      <c r="E613" s="1">
        <v>45292</v>
      </c>
      <c r="F613">
        <v>9</v>
      </c>
      <c r="G613">
        <v>479.19</v>
      </c>
      <c r="H613" t="s">
        <v>10</v>
      </c>
      <c r="I613" cm="1">
        <f t="array" ref="I613">_xlfn.IFS(H613="Credit Card",1,H613="PayPal",2,H613="Cash",3,H613="Bank Transfer",4,TRUE,5)</f>
        <v>3</v>
      </c>
    </row>
    <row r="614" spans="1:9" x14ac:dyDescent="0.3">
      <c r="A614">
        <v>592</v>
      </c>
      <c r="B614">
        <v>203</v>
      </c>
      <c r="C614">
        <v>249</v>
      </c>
      <c r="D614">
        <v>4</v>
      </c>
      <c r="E614" s="1">
        <v>45311</v>
      </c>
      <c r="F614">
        <v>13</v>
      </c>
      <c r="G614">
        <v>75.8</v>
      </c>
      <c r="H614" t="s">
        <v>11</v>
      </c>
      <c r="I614" cm="1">
        <f t="array" ref="I614">_xlfn.IFS(H614="Credit Card",1,H614="PayPal",2,H614="Cash",3,H614="Bank Transfer",4,TRUE,5)</f>
        <v>2</v>
      </c>
    </row>
    <row r="615" spans="1:9" x14ac:dyDescent="0.3">
      <c r="A615">
        <v>593</v>
      </c>
      <c r="B615">
        <v>516</v>
      </c>
      <c r="C615">
        <v>527</v>
      </c>
      <c r="D615">
        <v>3</v>
      </c>
      <c r="E615" s="1">
        <v>45505</v>
      </c>
      <c r="F615">
        <v>18</v>
      </c>
      <c r="G615">
        <v>1913.63</v>
      </c>
      <c r="H615" t="s">
        <v>9</v>
      </c>
      <c r="I615" cm="1">
        <f t="array" ref="I615">_xlfn.IFS(H615="Credit Card",1,H615="PayPal",2,H615="Cash",3,H615="Bank Transfer",4,TRUE,5)</f>
        <v>1</v>
      </c>
    </row>
    <row r="616" spans="1:9" x14ac:dyDescent="0.3">
      <c r="A616">
        <v>594</v>
      </c>
      <c r="B616">
        <v>65</v>
      </c>
      <c r="C616">
        <v>503</v>
      </c>
      <c r="D616">
        <v>3</v>
      </c>
      <c r="E616" s="1">
        <v>45527</v>
      </c>
      <c r="F616">
        <v>17</v>
      </c>
      <c r="G616">
        <v>437.8</v>
      </c>
      <c r="H616" t="s">
        <v>11</v>
      </c>
      <c r="I616" cm="1">
        <f t="array" ref="I616">_xlfn.IFS(H616="Credit Card",1,H616="PayPal",2,H616="Cash",3,H616="Bank Transfer",4,TRUE,5)</f>
        <v>2</v>
      </c>
    </row>
    <row r="617" spans="1:9" x14ac:dyDescent="0.3">
      <c r="A617">
        <v>595</v>
      </c>
      <c r="B617">
        <v>100</v>
      </c>
      <c r="C617">
        <v>110</v>
      </c>
      <c r="D617">
        <v>4</v>
      </c>
      <c r="E617" s="1">
        <v>45355</v>
      </c>
      <c r="F617">
        <v>1</v>
      </c>
      <c r="G617">
        <v>1526.25</v>
      </c>
      <c r="H617" t="s">
        <v>8</v>
      </c>
      <c r="I617" cm="1">
        <f t="array" ref="I617">_xlfn.IFS(H617="Credit Card",1,H617="PayPal",2,H617="Cash",3,H617="Bank Transfer",4,TRUE,5)</f>
        <v>4</v>
      </c>
    </row>
    <row r="618" spans="1:9" x14ac:dyDescent="0.3">
      <c r="A618">
        <v>596</v>
      </c>
      <c r="B618">
        <v>909</v>
      </c>
      <c r="C618">
        <v>726</v>
      </c>
      <c r="D618">
        <v>2</v>
      </c>
      <c r="E618" s="1">
        <v>45479</v>
      </c>
      <c r="F618">
        <v>12</v>
      </c>
      <c r="G618">
        <v>225.1</v>
      </c>
      <c r="H618" t="s">
        <v>10</v>
      </c>
      <c r="I618" cm="1">
        <f t="array" ref="I618">_xlfn.IFS(H618="Credit Card",1,H618="PayPal",2,H618="Cash",3,H618="Bank Transfer",4,TRUE,5)</f>
        <v>3</v>
      </c>
    </row>
    <row r="619" spans="1:9" x14ac:dyDescent="0.3">
      <c r="A619">
        <v>597</v>
      </c>
      <c r="B619">
        <v>607</v>
      </c>
      <c r="C619">
        <v>75</v>
      </c>
      <c r="D619">
        <v>2</v>
      </c>
      <c r="E619" s="1">
        <v>45528</v>
      </c>
      <c r="F619">
        <v>17</v>
      </c>
      <c r="G619">
        <v>1695.58</v>
      </c>
      <c r="H619" t="s">
        <v>10</v>
      </c>
      <c r="I619" cm="1">
        <f t="array" ref="I619">_xlfn.IFS(H619="Credit Card",1,H619="PayPal",2,H619="Cash",3,H619="Bank Transfer",4,TRUE,5)</f>
        <v>3</v>
      </c>
    </row>
    <row r="620" spans="1:9" x14ac:dyDescent="0.3">
      <c r="A620">
        <v>598</v>
      </c>
      <c r="B620">
        <v>280</v>
      </c>
      <c r="C620">
        <v>138</v>
      </c>
      <c r="D620">
        <v>2</v>
      </c>
      <c r="E620" s="1">
        <v>45558</v>
      </c>
      <c r="F620">
        <v>14</v>
      </c>
      <c r="G620">
        <v>1809.69</v>
      </c>
      <c r="H620" t="s">
        <v>11</v>
      </c>
      <c r="I620" cm="1">
        <f t="array" ref="I620">_xlfn.IFS(H620="Credit Card",1,H620="PayPal",2,H620="Cash",3,H620="Bank Transfer",4,TRUE,5)</f>
        <v>2</v>
      </c>
    </row>
    <row r="621" spans="1:9" x14ac:dyDescent="0.3">
      <c r="A621">
        <v>599</v>
      </c>
      <c r="B621">
        <v>349</v>
      </c>
      <c r="C621">
        <v>730</v>
      </c>
      <c r="D621">
        <v>2</v>
      </c>
      <c r="E621" s="1">
        <v>45389</v>
      </c>
      <c r="F621">
        <v>1</v>
      </c>
      <c r="G621">
        <v>463.76</v>
      </c>
      <c r="H621" t="s">
        <v>10</v>
      </c>
      <c r="I621" cm="1">
        <f t="array" ref="I621">_xlfn.IFS(H621="Credit Card",1,H621="PayPal",2,H621="Cash",3,H621="Bank Transfer",4,TRUE,5)</f>
        <v>3</v>
      </c>
    </row>
    <row r="622" spans="1:9" x14ac:dyDescent="0.3">
      <c r="A622">
        <v>600</v>
      </c>
      <c r="B622">
        <v>723</v>
      </c>
      <c r="C622">
        <v>303</v>
      </c>
      <c r="D622">
        <v>1</v>
      </c>
      <c r="E622" s="1">
        <v>45564</v>
      </c>
      <c r="F622">
        <v>14</v>
      </c>
      <c r="G622">
        <v>181.86</v>
      </c>
      <c r="H622" t="s">
        <v>8</v>
      </c>
      <c r="I622" cm="1">
        <f t="array" ref="I622">_xlfn.IFS(H622="Credit Card",1,H622="PayPal",2,H622="Cash",3,H622="Bank Transfer",4,TRUE,5)</f>
        <v>4</v>
      </c>
    </row>
    <row r="623" spans="1:9" x14ac:dyDescent="0.3">
      <c r="A623">
        <v>601</v>
      </c>
      <c r="B623">
        <v>311</v>
      </c>
      <c r="C623">
        <v>306</v>
      </c>
      <c r="D623">
        <v>5</v>
      </c>
      <c r="E623" s="1">
        <v>45507</v>
      </c>
      <c r="F623">
        <v>9</v>
      </c>
      <c r="G623">
        <v>452.78</v>
      </c>
      <c r="H623" t="s">
        <v>9</v>
      </c>
      <c r="I623" cm="1">
        <f t="array" ref="I623">_xlfn.IFS(H623="Credit Card",1,H623="PayPal",2,H623="Cash",3,H623="Bank Transfer",4,TRUE,5)</f>
        <v>1</v>
      </c>
    </row>
    <row r="624" spans="1:9" x14ac:dyDescent="0.3">
      <c r="A624">
        <v>602</v>
      </c>
      <c r="B624">
        <v>592</v>
      </c>
      <c r="C624">
        <v>350</v>
      </c>
      <c r="D624">
        <v>5</v>
      </c>
      <c r="E624" s="1">
        <v>45589</v>
      </c>
      <c r="F624">
        <v>13</v>
      </c>
      <c r="G624">
        <v>1639.74</v>
      </c>
      <c r="H624" t="s">
        <v>11</v>
      </c>
      <c r="I624" cm="1">
        <f t="array" ref="I624">_xlfn.IFS(H624="Credit Card",1,H624="PayPal",2,H624="Cash",3,H624="Bank Transfer",4,TRUE,5)</f>
        <v>2</v>
      </c>
    </row>
    <row r="625" spans="1:9" x14ac:dyDescent="0.3">
      <c r="A625">
        <v>603</v>
      </c>
      <c r="B625">
        <v>899</v>
      </c>
      <c r="C625">
        <v>774</v>
      </c>
      <c r="D625">
        <v>1</v>
      </c>
      <c r="E625" s="1">
        <v>45357</v>
      </c>
      <c r="F625">
        <v>6</v>
      </c>
      <c r="G625">
        <v>609.42999999999995</v>
      </c>
      <c r="H625" t="s">
        <v>10</v>
      </c>
      <c r="I625" cm="1">
        <f t="array" ref="I625">_xlfn.IFS(H625="Credit Card",1,H625="PayPal",2,H625="Cash",3,H625="Bank Transfer",4,TRUE,5)</f>
        <v>3</v>
      </c>
    </row>
    <row r="626" spans="1:9" x14ac:dyDescent="0.3">
      <c r="A626">
        <v>604</v>
      </c>
      <c r="B626">
        <v>767</v>
      </c>
      <c r="C626">
        <v>108</v>
      </c>
      <c r="D626">
        <v>3</v>
      </c>
      <c r="E626" s="1">
        <v>45612</v>
      </c>
      <c r="F626">
        <v>2</v>
      </c>
      <c r="G626">
        <v>270.22000000000003</v>
      </c>
      <c r="H626" t="s">
        <v>11</v>
      </c>
      <c r="I626" cm="1">
        <f t="array" ref="I626">_xlfn.IFS(H626="Credit Card",1,H626="PayPal",2,H626="Cash",3,H626="Bank Transfer",4,TRUE,5)</f>
        <v>2</v>
      </c>
    </row>
    <row r="627" spans="1:9" x14ac:dyDescent="0.3">
      <c r="A627">
        <v>605</v>
      </c>
      <c r="B627">
        <v>675</v>
      </c>
      <c r="C627">
        <v>831</v>
      </c>
      <c r="D627">
        <v>3</v>
      </c>
      <c r="E627" s="1">
        <v>45292</v>
      </c>
      <c r="F627">
        <v>11</v>
      </c>
      <c r="G627">
        <v>178.61</v>
      </c>
      <c r="H627" t="s">
        <v>8</v>
      </c>
      <c r="I627" cm="1">
        <f t="array" ref="I627">_xlfn.IFS(H627="Credit Card",1,H627="PayPal",2,H627="Cash",3,H627="Bank Transfer",4,TRUE,5)</f>
        <v>4</v>
      </c>
    </row>
    <row r="628" spans="1:9" x14ac:dyDescent="0.3">
      <c r="A628">
        <v>606</v>
      </c>
      <c r="B628">
        <v>277</v>
      </c>
      <c r="C628">
        <v>157</v>
      </c>
      <c r="D628">
        <v>1</v>
      </c>
      <c r="E628" s="1">
        <v>45538</v>
      </c>
      <c r="F628">
        <v>17</v>
      </c>
      <c r="G628">
        <v>1998.05</v>
      </c>
      <c r="H628" t="s">
        <v>11</v>
      </c>
      <c r="I628" cm="1">
        <f t="array" ref="I628">_xlfn.IFS(H628="Credit Card",1,H628="PayPal",2,H628="Cash",3,H628="Bank Transfer",4,TRUE,5)</f>
        <v>2</v>
      </c>
    </row>
    <row r="629" spans="1:9" x14ac:dyDescent="0.3">
      <c r="A629">
        <v>607</v>
      </c>
      <c r="B629">
        <v>739</v>
      </c>
      <c r="C629">
        <v>837</v>
      </c>
      <c r="D629">
        <v>4</v>
      </c>
      <c r="E629" s="1">
        <v>45623</v>
      </c>
      <c r="F629">
        <v>20</v>
      </c>
      <c r="G629">
        <v>1521.47</v>
      </c>
      <c r="H629" t="s">
        <v>11</v>
      </c>
      <c r="I629" cm="1">
        <f t="array" ref="I629">_xlfn.IFS(H629="Credit Card",1,H629="PayPal",2,H629="Cash",3,H629="Bank Transfer",4,TRUE,5)</f>
        <v>2</v>
      </c>
    </row>
    <row r="630" spans="1:9" x14ac:dyDescent="0.3">
      <c r="A630">
        <v>608</v>
      </c>
      <c r="B630">
        <v>201</v>
      </c>
      <c r="C630">
        <v>336</v>
      </c>
      <c r="D630">
        <v>1</v>
      </c>
      <c r="E630" s="1">
        <v>45322</v>
      </c>
      <c r="F630">
        <v>1</v>
      </c>
      <c r="G630">
        <v>226.96</v>
      </c>
      <c r="H630" t="s">
        <v>10</v>
      </c>
      <c r="I630" cm="1">
        <f t="array" ref="I630">_xlfn.IFS(H630="Credit Card",1,H630="PayPal",2,H630="Cash",3,H630="Bank Transfer",4,TRUE,5)</f>
        <v>3</v>
      </c>
    </row>
    <row r="631" spans="1:9" x14ac:dyDescent="0.3">
      <c r="A631">
        <v>609</v>
      </c>
      <c r="B631">
        <v>577</v>
      </c>
      <c r="C631">
        <v>32</v>
      </c>
      <c r="D631">
        <v>2</v>
      </c>
      <c r="E631" s="1">
        <v>45447</v>
      </c>
      <c r="F631">
        <v>18</v>
      </c>
      <c r="G631">
        <v>733.06</v>
      </c>
      <c r="H631" t="s">
        <v>11</v>
      </c>
      <c r="I631" cm="1">
        <f t="array" ref="I631">_xlfn.IFS(H631="Credit Card",1,H631="PayPal",2,H631="Cash",3,H631="Bank Transfer",4,TRUE,5)</f>
        <v>2</v>
      </c>
    </row>
    <row r="632" spans="1:9" x14ac:dyDescent="0.3">
      <c r="A632">
        <v>610</v>
      </c>
      <c r="B632">
        <v>307</v>
      </c>
      <c r="C632">
        <v>111</v>
      </c>
      <c r="D632">
        <v>4</v>
      </c>
      <c r="E632" s="1">
        <v>45451</v>
      </c>
      <c r="F632">
        <v>7</v>
      </c>
      <c r="G632">
        <v>1574.31</v>
      </c>
      <c r="H632" t="s">
        <v>9</v>
      </c>
      <c r="I632" cm="1">
        <f t="array" ref="I632">_xlfn.IFS(H632="Credit Card",1,H632="PayPal",2,H632="Cash",3,H632="Bank Transfer",4,TRUE,5)</f>
        <v>1</v>
      </c>
    </row>
    <row r="633" spans="1:9" x14ac:dyDescent="0.3">
      <c r="A633">
        <v>611</v>
      </c>
      <c r="B633">
        <v>744</v>
      </c>
      <c r="C633">
        <v>169</v>
      </c>
      <c r="D633">
        <v>3</v>
      </c>
      <c r="E633" s="1">
        <v>45432</v>
      </c>
      <c r="F633">
        <v>13</v>
      </c>
      <c r="G633">
        <v>1218.95</v>
      </c>
      <c r="H633" t="s">
        <v>9</v>
      </c>
      <c r="I633" cm="1">
        <f t="array" ref="I633">_xlfn.IFS(H633="Credit Card",1,H633="PayPal",2,H633="Cash",3,H633="Bank Transfer",4,TRUE,5)</f>
        <v>1</v>
      </c>
    </row>
    <row r="634" spans="1:9" x14ac:dyDescent="0.3">
      <c r="A634">
        <v>612</v>
      </c>
      <c r="B634">
        <v>926</v>
      </c>
      <c r="C634">
        <v>954</v>
      </c>
      <c r="D634">
        <v>2</v>
      </c>
      <c r="E634" s="1">
        <v>45346</v>
      </c>
      <c r="F634">
        <v>5</v>
      </c>
      <c r="G634">
        <v>1116.17</v>
      </c>
      <c r="H634" t="s">
        <v>11</v>
      </c>
      <c r="I634" cm="1">
        <f t="array" ref="I634">_xlfn.IFS(H634="Credit Card",1,H634="PayPal",2,H634="Cash",3,H634="Bank Transfer",4,TRUE,5)</f>
        <v>2</v>
      </c>
    </row>
    <row r="635" spans="1:9" x14ac:dyDescent="0.3">
      <c r="A635">
        <v>613</v>
      </c>
      <c r="B635">
        <v>967</v>
      </c>
      <c r="C635">
        <v>306</v>
      </c>
      <c r="D635">
        <v>5</v>
      </c>
      <c r="E635" s="1">
        <v>45402</v>
      </c>
      <c r="F635">
        <v>18</v>
      </c>
      <c r="G635">
        <v>1894.09</v>
      </c>
      <c r="H635" t="s">
        <v>9</v>
      </c>
      <c r="I635" cm="1">
        <f t="array" ref="I635">_xlfn.IFS(H635="Credit Card",1,H635="PayPal",2,H635="Cash",3,H635="Bank Transfer",4,TRUE,5)</f>
        <v>1</v>
      </c>
    </row>
    <row r="636" spans="1:9" x14ac:dyDescent="0.3">
      <c r="A636">
        <v>614</v>
      </c>
      <c r="B636">
        <v>744</v>
      </c>
      <c r="C636">
        <v>903</v>
      </c>
      <c r="D636">
        <v>1</v>
      </c>
      <c r="E636" s="1">
        <v>45362</v>
      </c>
      <c r="F636">
        <v>20</v>
      </c>
      <c r="G636">
        <v>1830.26</v>
      </c>
      <c r="H636" t="s">
        <v>11</v>
      </c>
      <c r="I636" cm="1">
        <f t="array" ref="I636">_xlfn.IFS(H636="Credit Card",1,H636="PayPal",2,H636="Cash",3,H636="Bank Transfer",4,TRUE,5)</f>
        <v>2</v>
      </c>
    </row>
    <row r="637" spans="1:9" x14ac:dyDescent="0.3">
      <c r="A637">
        <v>615</v>
      </c>
      <c r="B637">
        <v>477</v>
      </c>
      <c r="C637">
        <v>593</v>
      </c>
      <c r="D637">
        <v>1</v>
      </c>
      <c r="E637" s="1">
        <v>45373</v>
      </c>
      <c r="F637">
        <v>1</v>
      </c>
      <c r="G637">
        <v>253.25</v>
      </c>
      <c r="H637" t="s">
        <v>8</v>
      </c>
      <c r="I637" cm="1">
        <f t="array" ref="I637">_xlfn.IFS(H637="Credit Card",1,H637="PayPal",2,H637="Cash",3,H637="Bank Transfer",4,TRUE,5)</f>
        <v>4</v>
      </c>
    </row>
    <row r="638" spans="1:9" x14ac:dyDescent="0.3">
      <c r="A638">
        <v>616</v>
      </c>
      <c r="B638">
        <v>493</v>
      </c>
      <c r="C638">
        <v>441</v>
      </c>
      <c r="D638">
        <v>2</v>
      </c>
      <c r="E638" s="1">
        <v>45558</v>
      </c>
      <c r="F638">
        <v>2</v>
      </c>
      <c r="G638">
        <v>611.66</v>
      </c>
      <c r="H638" t="s">
        <v>11</v>
      </c>
      <c r="I638" cm="1">
        <f t="array" ref="I638">_xlfn.IFS(H638="Credit Card",1,H638="PayPal",2,H638="Cash",3,H638="Bank Transfer",4,TRUE,5)</f>
        <v>2</v>
      </c>
    </row>
    <row r="639" spans="1:9" x14ac:dyDescent="0.3">
      <c r="A639">
        <v>617</v>
      </c>
      <c r="B639">
        <v>776</v>
      </c>
      <c r="C639">
        <v>50</v>
      </c>
      <c r="D639">
        <v>4</v>
      </c>
      <c r="E639" s="1">
        <v>45407</v>
      </c>
      <c r="F639">
        <v>1</v>
      </c>
      <c r="G639">
        <v>1367.6</v>
      </c>
      <c r="H639" t="s">
        <v>8</v>
      </c>
      <c r="I639" cm="1">
        <f t="array" ref="I639">_xlfn.IFS(H639="Credit Card",1,H639="PayPal",2,H639="Cash",3,H639="Bank Transfer",4,TRUE,5)</f>
        <v>4</v>
      </c>
    </row>
    <row r="640" spans="1:9" x14ac:dyDescent="0.3">
      <c r="A640">
        <v>618</v>
      </c>
      <c r="B640">
        <v>475</v>
      </c>
      <c r="C640">
        <v>688</v>
      </c>
      <c r="D640">
        <v>2</v>
      </c>
      <c r="E640" s="1">
        <v>45359</v>
      </c>
      <c r="F640">
        <v>10</v>
      </c>
      <c r="G640">
        <v>817.55</v>
      </c>
      <c r="H640" t="s">
        <v>11</v>
      </c>
      <c r="I640" cm="1">
        <f t="array" ref="I640">_xlfn.IFS(H640="Credit Card",1,H640="PayPal",2,H640="Cash",3,H640="Bank Transfer",4,TRUE,5)</f>
        <v>2</v>
      </c>
    </row>
    <row r="641" spans="1:9" x14ac:dyDescent="0.3">
      <c r="A641">
        <v>619</v>
      </c>
      <c r="B641">
        <v>75</v>
      </c>
      <c r="C641">
        <v>260</v>
      </c>
      <c r="D641">
        <v>5</v>
      </c>
      <c r="E641" s="1">
        <v>45609</v>
      </c>
      <c r="F641">
        <v>7</v>
      </c>
      <c r="G641">
        <v>1034.23</v>
      </c>
      <c r="H641" t="s">
        <v>10</v>
      </c>
      <c r="I641" cm="1">
        <f t="array" ref="I641">_xlfn.IFS(H641="Credit Card",1,H641="PayPal",2,H641="Cash",3,H641="Bank Transfer",4,TRUE,5)</f>
        <v>3</v>
      </c>
    </row>
    <row r="642" spans="1:9" x14ac:dyDescent="0.3">
      <c r="A642">
        <v>620</v>
      </c>
      <c r="B642">
        <v>125</v>
      </c>
      <c r="C642">
        <v>597</v>
      </c>
      <c r="D642">
        <v>3</v>
      </c>
      <c r="E642" s="1">
        <v>45388</v>
      </c>
      <c r="F642">
        <v>3</v>
      </c>
      <c r="G642">
        <v>307.7</v>
      </c>
      <c r="H642" t="s">
        <v>8</v>
      </c>
      <c r="I642" cm="1">
        <f t="array" ref="I642">_xlfn.IFS(H642="Credit Card",1,H642="PayPal",2,H642="Cash",3,H642="Bank Transfer",4,TRUE,5)</f>
        <v>4</v>
      </c>
    </row>
    <row r="643" spans="1:9" x14ac:dyDescent="0.3">
      <c r="A643">
        <v>621</v>
      </c>
      <c r="B643">
        <v>262</v>
      </c>
      <c r="C643">
        <v>92</v>
      </c>
      <c r="D643">
        <v>2</v>
      </c>
      <c r="E643" s="1">
        <v>45433</v>
      </c>
      <c r="F643">
        <v>8</v>
      </c>
      <c r="G643">
        <v>409.33</v>
      </c>
      <c r="H643" t="s">
        <v>11</v>
      </c>
      <c r="I643" cm="1">
        <f t="array" ref="I643">_xlfn.IFS(H643="Credit Card",1,H643="PayPal",2,H643="Cash",3,H643="Bank Transfer",4,TRUE,5)</f>
        <v>2</v>
      </c>
    </row>
    <row r="644" spans="1:9" x14ac:dyDescent="0.3">
      <c r="A644">
        <v>622</v>
      </c>
      <c r="B644">
        <v>250</v>
      </c>
      <c r="C644">
        <v>240</v>
      </c>
      <c r="D644">
        <v>2</v>
      </c>
      <c r="E644" s="1">
        <v>45303</v>
      </c>
      <c r="F644">
        <v>11</v>
      </c>
      <c r="G644">
        <v>593.70000000000005</v>
      </c>
      <c r="H644" t="s">
        <v>10</v>
      </c>
      <c r="I644" cm="1">
        <f t="array" ref="I644">_xlfn.IFS(H644="Credit Card",1,H644="PayPal",2,H644="Cash",3,H644="Bank Transfer",4,TRUE,5)</f>
        <v>3</v>
      </c>
    </row>
    <row r="645" spans="1:9" x14ac:dyDescent="0.3">
      <c r="A645">
        <v>623</v>
      </c>
      <c r="B645">
        <v>614</v>
      </c>
      <c r="C645">
        <v>619</v>
      </c>
      <c r="D645">
        <v>5</v>
      </c>
      <c r="E645" s="1">
        <v>45531</v>
      </c>
      <c r="F645">
        <v>16</v>
      </c>
      <c r="G645">
        <v>1037.6300000000001</v>
      </c>
      <c r="H645" t="s">
        <v>10</v>
      </c>
      <c r="I645" cm="1">
        <f t="array" ref="I645">_xlfn.IFS(H645="Credit Card",1,H645="PayPal",2,H645="Cash",3,H645="Bank Transfer",4,TRUE,5)</f>
        <v>3</v>
      </c>
    </row>
    <row r="646" spans="1:9" x14ac:dyDescent="0.3">
      <c r="A646">
        <v>624</v>
      </c>
      <c r="B646">
        <v>193</v>
      </c>
      <c r="C646">
        <v>562</v>
      </c>
      <c r="D646">
        <v>2</v>
      </c>
      <c r="E646" s="1">
        <v>45340</v>
      </c>
      <c r="F646">
        <v>20</v>
      </c>
      <c r="G646">
        <v>1778.14</v>
      </c>
      <c r="H646" t="s">
        <v>9</v>
      </c>
      <c r="I646" cm="1">
        <f t="array" ref="I646">_xlfn.IFS(H646="Credit Card",1,H646="PayPal",2,H646="Cash",3,H646="Bank Transfer",4,TRUE,5)</f>
        <v>1</v>
      </c>
    </row>
    <row r="647" spans="1:9" x14ac:dyDescent="0.3">
      <c r="A647">
        <v>625</v>
      </c>
      <c r="B647">
        <v>559</v>
      </c>
      <c r="C647">
        <v>405</v>
      </c>
      <c r="D647">
        <v>5</v>
      </c>
      <c r="E647" s="1">
        <v>45423</v>
      </c>
      <c r="F647">
        <v>11</v>
      </c>
      <c r="G647">
        <v>1146.97</v>
      </c>
      <c r="H647" t="s">
        <v>9</v>
      </c>
      <c r="I647" cm="1">
        <f t="array" ref="I647">_xlfn.IFS(H647="Credit Card",1,H647="PayPal",2,H647="Cash",3,H647="Bank Transfer",4,TRUE,5)</f>
        <v>1</v>
      </c>
    </row>
    <row r="648" spans="1:9" x14ac:dyDescent="0.3">
      <c r="A648">
        <v>626</v>
      </c>
      <c r="B648">
        <v>846</v>
      </c>
      <c r="C648">
        <v>192</v>
      </c>
      <c r="D648">
        <v>2</v>
      </c>
      <c r="E648" s="1">
        <v>45446</v>
      </c>
      <c r="F648">
        <v>17</v>
      </c>
      <c r="G648">
        <v>1818.27</v>
      </c>
      <c r="H648" t="s">
        <v>10</v>
      </c>
      <c r="I648" cm="1">
        <f t="array" ref="I648">_xlfn.IFS(H648="Credit Card",1,H648="PayPal",2,H648="Cash",3,H648="Bank Transfer",4,TRUE,5)</f>
        <v>3</v>
      </c>
    </row>
    <row r="649" spans="1:9" x14ac:dyDescent="0.3">
      <c r="A649">
        <v>627</v>
      </c>
      <c r="B649">
        <v>374</v>
      </c>
      <c r="C649">
        <v>120</v>
      </c>
      <c r="D649">
        <v>4</v>
      </c>
      <c r="E649" s="1">
        <v>45495</v>
      </c>
      <c r="F649">
        <v>13</v>
      </c>
      <c r="G649">
        <v>52.15</v>
      </c>
      <c r="H649" t="s">
        <v>10</v>
      </c>
      <c r="I649" cm="1">
        <f t="array" ref="I649">_xlfn.IFS(H649="Credit Card",1,H649="PayPal",2,H649="Cash",3,H649="Bank Transfer",4,TRUE,5)</f>
        <v>3</v>
      </c>
    </row>
    <row r="650" spans="1:9" x14ac:dyDescent="0.3">
      <c r="A650">
        <v>628</v>
      </c>
      <c r="B650">
        <v>278</v>
      </c>
      <c r="C650">
        <v>677</v>
      </c>
      <c r="D650">
        <v>5</v>
      </c>
      <c r="E650" s="1">
        <v>45337</v>
      </c>
      <c r="F650">
        <v>11</v>
      </c>
      <c r="G650">
        <v>200.57</v>
      </c>
      <c r="H650" t="s">
        <v>11</v>
      </c>
      <c r="I650" cm="1">
        <f t="array" ref="I650">_xlfn.IFS(H650="Credit Card",1,H650="PayPal",2,H650="Cash",3,H650="Bank Transfer",4,TRUE,5)</f>
        <v>2</v>
      </c>
    </row>
    <row r="651" spans="1:9" x14ac:dyDescent="0.3">
      <c r="A651">
        <v>629</v>
      </c>
      <c r="B651">
        <v>254</v>
      </c>
      <c r="C651">
        <v>866</v>
      </c>
      <c r="D651">
        <v>5</v>
      </c>
      <c r="E651" s="1">
        <v>45583</v>
      </c>
      <c r="F651">
        <v>4</v>
      </c>
      <c r="G651">
        <v>1002.54</v>
      </c>
      <c r="H651" t="s">
        <v>10</v>
      </c>
      <c r="I651" cm="1">
        <f t="array" ref="I651">_xlfn.IFS(H651="Credit Card",1,H651="PayPal",2,H651="Cash",3,H651="Bank Transfer",4,TRUE,5)</f>
        <v>3</v>
      </c>
    </row>
    <row r="652" spans="1:9" x14ac:dyDescent="0.3">
      <c r="A652">
        <v>630</v>
      </c>
      <c r="B652">
        <v>487</v>
      </c>
      <c r="C652">
        <v>563</v>
      </c>
      <c r="D652">
        <v>4</v>
      </c>
      <c r="E652" s="1">
        <v>45296</v>
      </c>
      <c r="F652">
        <v>13</v>
      </c>
      <c r="G652">
        <v>113.28</v>
      </c>
      <c r="H652" t="s">
        <v>8</v>
      </c>
      <c r="I652" cm="1">
        <f t="array" ref="I652">_xlfn.IFS(H652="Credit Card",1,H652="PayPal",2,H652="Cash",3,H652="Bank Transfer",4,TRUE,5)</f>
        <v>4</v>
      </c>
    </row>
    <row r="653" spans="1:9" x14ac:dyDescent="0.3">
      <c r="A653">
        <v>631</v>
      </c>
      <c r="B653">
        <v>622</v>
      </c>
      <c r="C653">
        <v>581</v>
      </c>
      <c r="D653">
        <v>2</v>
      </c>
      <c r="E653" s="1">
        <v>45622</v>
      </c>
      <c r="F653">
        <v>3</v>
      </c>
      <c r="G653">
        <v>1152</v>
      </c>
      <c r="H653" t="s">
        <v>8</v>
      </c>
      <c r="I653" cm="1">
        <f t="array" ref="I653">_xlfn.IFS(H653="Credit Card",1,H653="PayPal",2,H653="Cash",3,H653="Bank Transfer",4,TRUE,5)</f>
        <v>4</v>
      </c>
    </row>
    <row r="654" spans="1:9" x14ac:dyDescent="0.3">
      <c r="A654">
        <v>632</v>
      </c>
      <c r="B654">
        <v>345</v>
      </c>
      <c r="C654">
        <v>532</v>
      </c>
      <c r="D654">
        <v>4</v>
      </c>
      <c r="E654" s="1">
        <v>45373</v>
      </c>
      <c r="F654">
        <v>13</v>
      </c>
      <c r="G654">
        <v>1400.18</v>
      </c>
      <c r="H654" t="s">
        <v>9</v>
      </c>
      <c r="I654" cm="1">
        <f t="array" ref="I654">_xlfn.IFS(H654="Credit Card",1,H654="PayPal",2,H654="Cash",3,H654="Bank Transfer",4,TRUE,5)</f>
        <v>1</v>
      </c>
    </row>
    <row r="655" spans="1:9" x14ac:dyDescent="0.3">
      <c r="A655">
        <v>634</v>
      </c>
      <c r="B655">
        <v>673</v>
      </c>
      <c r="C655">
        <v>256</v>
      </c>
      <c r="D655">
        <v>2</v>
      </c>
      <c r="E655" s="1">
        <v>45481</v>
      </c>
      <c r="F655">
        <v>14</v>
      </c>
      <c r="G655">
        <v>856.03</v>
      </c>
      <c r="H655" t="s">
        <v>11</v>
      </c>
      <c r="I655" cm="1">
        <f t="array" ref="I655">_xlfn.IFS(H655="Credit Card",1,H655="PayPal",2,H655="Cash",3,H655="Bank Transfer",4,TRUE,5)</f>
        <v>2</v>
      </c>
    </row>
    <row r="656" spans="1:9" x14ac:dyDescent="0.3">
      <c r="A656">
        <v>635</v>
      </c>
      <c r="B656">
        <v>430</v>
      </c>
      <c r="C656">
        <v>126</v>
      </c>
      <c r="D656">
        <v>3</v>
      </c>
      <c r="E656" s="1">
        <v>45429</v>
      </c>
      <c r="F656">
        <v>5</v>
      </c>
      <c r="G656">
        <v>357.09</v>
      </c>
      <c r="H656" t="s">
        <v>9</v>
      </c>
      <c r="I656" cm="1">
        <f t="array" ref="I656">_xlfn.IFS(H656="Credit Card",1,H656="PayPal",2,H656="Cash",3,H656="Bank Transfer",4,TRUE,5)</f>
        <v>1</v>
      </c>
    </row>
    <row r="657" spans="1:9" x14ac:dyDescent="0.3">
      <c r="A657">
        <v>636</v>
      </c>
      <c r="B657">
        <v>636</v>
      </c>
      <c r="C657">
        <v>377</v>
      </c>
      <c r="D657">
        <v>1</v>
      </c>
      <c r="E657" s="1">
        <v>45413</v>
      </c>
      <c r="F657">
        <v>7</v>
      </c>
      <c r="G657">
        <v>1715.76</v>
      </c>
      <c r="H657" t="s">
        <v>10</v>
      </c>
      <c r="I657" cm="1">
        <f t="array" ref="I657">_xlfn.IFS(H657="Credit Card",1,H657="PayPal",2,H657="Cash",3,H657="Bank Transfer",4,TRUE,5)</f>
        <v>3</v>
      </c>
    </row>
    <row r="658" spans="1:9" x14ac:dyDescent="0.3">
      <c r="A658">
        <v>637</v>
      </c>
      <c r="B658">
        <v>854</v>
      </c>
      <c r="C658">
        <v>188</v>
      </c>
      <c r="D658">
        <v>2</v>
      </c>
      <c r="E658" s="1">
        <v>45596</v>
      </c>
      <c r="F658">
        <v>13</v>
      </c>
      <c r="G658">
        <v>1853.18</v>
      </c>
      <c r="H658" t="s">
        <v>11</v>
      </c>
      <c r="I658" cm="1">
        <f t="array" ref="I658">_xlfn.IFS(H658="Credit Card",1,H658="PayPal",2,H658="Cash",3,H658="Bank Transfer",4,TRUE,5)</f>
        <v>2</v>
      </c>
    </row>
    <row r="659" spans="1:9" x14ac:dyDescent="0.3">
      <c r="A659">
        <v>638</v>
      </c>
      <c r="B659">
        <v>84</v>
      </c>
      <c r="C659">
        <v>147</v>
      </c>
      <c r="D659">
        <v>4</v>
      </c>
      <c r="E659" s="1">
        <v>45344</v>
      </c>
      <c r="F659">
        <v>20</v>
      </c>
      <c r="G659">
        <v>1432.79</v>
      </c>
      <c r="H659" t="s">
        <v>9</v>
      </c>
      <c r="I659" cm="1">
        <f t="array" ref="I659">_xlfn.IFS(H659="Credit Card",1,H659="PayPal",2,H659="Cash",3,H659="Bank Transfer",4,TRUE,5)</f>
        <v>1</v>
      </c>
    </row>
    <row r="660" spans="1:9" x14ac:dyDescent="0.3">
      <c r="A660">
        <v>639</v>
      </c>
      <c r="B660">
        <v>29</v>
      </c>
      <c r="C660">
        <v>712</v>
      </c>
      <c r="D660">
        <v>2</v>
      </c>
      <c r="E660" s="1">
        <v>45409</v>
      </c>
      <c r="F660">
        <v>3</v>
      </c>
      <c r="G660">
        <v>1339.27</v>
      </c>
      <c r="H660" t="s">
        <v>8</v>
      </c>
      <c r="I660" cm="1">
        <f t="array" ref="I660">_xlfn.IFS(H660="Credit Card",1,H660="PayPal",2,H660="Cash",3,H660="Bank Transfer",4,TRUE,5)</f>
        <v>4</v>
      </c>
    </row>
    <row r="661" spans="1:9" x14ac:dyDescent="0.3">
      <c r="A661">
        <v>640</v>
      </c>
      <c r="B661">
        <v>893</v>
      </c>
      <c r="C661">
        <v>332</v>
      </c>
      <c r="D661">
        <v>5</v>
      </c>
      <c r="E661" s="1">
        <v>45363</v>
      </c>
      <c r="F661">
        <v>3</v>
      </c>
      <c r="G661">
        <v>439.79</v>
      </c>
      <c r="H661" t="s">
        <v>10</v>
      </c>
      <c r="I661" cm="1">
        <f t="array" ref="I661">_xlfn.IFS(H661="Credit Card",1,H661="PayPal",2,H661="Cash",3,H661="Bank Transfer",4,TRUE,5)</f>
        <v>3</v>
      </c>
    </row>
    <row r="662" spans="1:9" x14ac:dyDescent="0.3">
      <c r="A662">
        <v>641</v>
      </c>
      <c r="B662">
        <v>238</v>
      </c>
      <c r="C662">
        <v>491</v>
      </c>
      <c r="D662">
        <v>2</v>
      </c>
      <c r="E662" s="1">
        <v>45325</v>
      </c>
      <c r="F662">
        <v>17</v>
      </c>
      <c r="G662">
        <v>1936.61</v>
      </c>
      <c r="H662" t="s">
        <v>8</v>
      </c>
      <c r="I662" cm="1">
        <f t="array" ref="I662">_xlfn.IFS(H662="Credit Card",1,H662="PayPal",2,H662="Cash",3,H662="Bank Transfer",4,TRUE,5)</f>
        <v>4</v>
      </c>
    </row>
    <row r="663" spans="1:9" x14ac:dyDescent="0.3">
      <c r="A663">
        <v>642</v>
      </c>
      <c r="B663">
        <v>955</v>
      </c>
      <c r="C663">
        <v>881</v>
      </c>
      <c r="D663">
        <v>5</v>
      </c>
      <c r="E663" s="1">
        <v>45509</v>
      </c>
      <c r="F663">
        <v>13</v>
      </c>
      <c r="G663">
        <v>1609.72</v>
      </c>
      <c r="H663" t="s">
        <v>11</v>
      </c>
      <c r="I663" cm="1">
        <f t="array" ref="I663">_xlfn.IFS(H663="Credit Card",1,H663="PayPal",2,H663="Cash",3,H663="Bank Transfer",4,TRUE,5)</f>
        <v>2</v>
      </c>
    </row>
    <row r="664" spans="1:9" x14ac:dyDescent="0.3">
      <c r="A664">
        <v>643</v>
      </c>
      <c r="B664">
        <v>417</v>
      </c>
      <c r="C664">
        <v>737</v>
      </c>
      <c r="D664">
        <v>4</v>
      </c>
      <c r="E664" s="1">
        <v>45430</v>
      </c>
      <c r="F664">
        <v>2</v>
      </c>
      <c r="G664">
        <v>426.63</v>
      </c>
      <c r="H664" t="s">
        <v>8</v>
      </c>
      <c r="I664" cm="1">
        <f t="array" ref="I664">_xlfn.IFS(H664="Credit Card",1,H664="PayPal",2,H664="Cash",3,H664="Bank Transfer",4,TRUE,5)</f>
        <v>4</v>
      </c>
    </row>
    <row r="665" spans="1:9" x14ac:dyDescent="0.3">
      <c r="A665">
        <v>644</v>
      </c>
      <c r="B665">
        <v>769</v>
      </c>
      <c r="C665">
        <v>417</v>
      </c>
      <c r="D665">
        <v>3</v>
      </c>
      <c r="E665" s="1">
        <v>45318</v>
      </c>
      <c r="F665">
        <v>19</v>
      </c>
      <c r="G665">
        <v>170.06</v>
      </c>
      <c r="H665" t="s">
        <v>9</v>
      </c>
      <c r="I665" cm="1">
        <f t="array" ref="I665">_xlfn.IFS(H665="Credit Card",1,H665="PayPal",2,H665="Cash",3,H665="Bank Transfer",4,TRUE,5)</f>
        <v>1</v>
      </c>
    </row>
    <row r="666" spans="1:9" x14ac:dyDescent="0.3">
      <c r="A666">
        <v>645</v>
      </c>
      <c r="B666">
        <v>370</v>
      </c>
      <c r="C666">
        <v>898</v>
      </c>
      <c r="D666">
        <v>2</v>
      </c>
      <c r="E666" s="1">
        <v>45352</v>
      </c>
      <c r="F666">
        <v>4</v>
      </c>
      <c r="G666">
        <v>930.47</v>
      </c>
      <c r="H666" t="s">
        <v>9</v>
      </c>
      <c r="I666" cm="1">
        <f t="array" ref="I666">_xlfn.IFS(H666="Credit Card",1,H666="PayPal",2,H666="Cash",3,H666="Bank Transfer",4,TRUE,5)</f>
        <v>1</v>
      </c>
    </row>
    <row r="667" spans="1:9" x14ac:dyDescent="0.3">
      <c r="A667">
        <v>646</v>
      </c>
      <c r="B667">
        <v>693</v>
      </c>
      <c r="C667">
        <v>948</v>
      </c>
      <c r="D667">
        <v>4</v>
      </c>
      <c r="E667" s="1">
        <v>45495</v>
      </c>
      <c r="F667">
        <v>9</v>
      </c>
      <c r="G667">
        <v>1684.03</v>
      </c>
      <c r="H667" t="s">
        <v>11</v>
      </c>
      <c r="I667" cm="1">
        <f t="array" ref="I667">_xlfn.IFS(H667="Credit Card",1,H667="PayPal",2,H667="Cash",3,H667="Bank Transfer",4,TRUE,5)</f>
        <v>2</v>
      </c>
    </row>
    <row r="668" spans="1:9" x14ac:dyDescent="0.3">
      <c r="A668">
        <v>647</v>
      </c>
      <c r="B668">
        <v>404</v>
      </c>
      <c r="C668">
        <v>45</v>
      </c>
      <c r="D668">
        <v>4</v>
      </c>
      <c r="E668" s="1">
        <v>45622</v>
      </c>
      <c r="F668">
        <v>8</v>
      </c>
      <c r="G668">
        <v>748.66</v>
      </c>
      <c r="H668" t="s">
        <v>10</v>
      </c>
      <c r="I668" cm="1">
        <f t="array" ref="I668">_xlfn.IFS(H668="Credit Card",1,H668="PayPal",2,H668="Cash",3,H668="Bank Transfer",4,TRUE,5)</f>
        <v>3</v>
      </c>
    </row>
    <row r="669" spans="1:9" x14ac:dyDescent="0.3">
      <c r="A669">
        <v>648</v>
      </c>
      <c r="B669">
        <v>899</v>
      </c>
      <c r="C669">
        <v>938</v>
      </c>
      <c r="D669">
        <v>1</v>
      </c>
      <c r="E669" s="1">
        <v>45556</v>
      </c>
      <c r="F669">
        <v>17</v>
      </c>
      <c r="G669">
        <v>986.21</v>
      </c>
      <c r="H669" t="s">
        <v>10</v>
      </c>
      <c r="I669" cm="1">
        <f t="array" ref="I669">_xlfn.IFS(H669="Credit Card",1,H669="PayPal",2,H669="Cash",3,H669="Bank Transfer",4,TRUE,5)</f>
        <v>3</v>
      </c>
    </row>
    <row r="670" spans="1:9" x14ac:dyDescent="0.3">
      <c r="A670">
        <v>649</v>
      </c>
      <c r="B670">
        <v>857</v>
      </c>
      <c r="C670">
        <v>658</v>
      </c>
      <c r="D670">
        <v>4</v>
      </c>
      <c r="E670" s="1">
        <v>45615</v>
      </c>
      <c r="F670">
        <v>5</v>
      </c>
      <c r="G670">
        <v>1974.23</v>
      </c>
      <c r="H670" t="s">
        <v>11</v>
      </c>
      <c r="I670" cm="1">
        <f t="array" ref="I670">_xlfn.IFS(H670="Credit Card",1,H670="PayPal",2,H670="Cash",3,H670="Bank Transfer",4,TRUE,5)</f>
        <v>2</v>
      </c>
    </row>
    <row r="671" spans="1:9" x14ac:dyDescent="0.3">
      <c r="A671">
        <v>650</v>
      </c>
      <c r="B671">
        <v>554</v>
      </c>
      <c r="C671">
        <v>425</v>
      </c>
      <c r="D671">
        <v>4</v>
      </c>
      <c r="E671" s="1">
        <v>45303</v>
      </c>
      <c r="F671">
        <v>19</v>
      </c>
      <c r="G671">
        <v>132.5</v>
      </c>
      <c r="H671" t="s">
        <v>8</v>
      </c>
      <c r="I671" cm="1">
        <f t="array" ref="I671">_xlfn.IFS(H671="Credit Card",1,H671="PayPal",2,H671="Cash",3,H671="Bank Transfer",4,TRUE,5)</f>
        <v>4</v>
      </c>
    </row>
    <row r="672" spans="1:9" x14ac:dyDescent="0.3">
      <c r="A672">
        <v>651</v>
      </c>
      <c r="B672">
        <v>503</v>
      </c>
      <c r="C672">
        <v>323</v>
      </c>
      <c r="D672">
        <v>2</v>
      </c>
      <c r="E672" s="1">
        <v>45293</v>
      </c>
      <c r="F672">
        <v>9</v>
      </c>
      <c r="G672">
        <v>406.74</v>
      </c>
      <c r="H672" t="s">
        <v>11</v>
      </c>
      <c r="I672" cm="1">
        <f t="array" ref="I672">_xlfn.IFS(H672="Credit Card",1,H672="PayPal",2,H672="Cash",3,H672="Bank Transfer",4,TRUE,5)</f>
        <v>2</v>
      </c>
    </row>
    <row r="673" spans="1:9" x14ac:dyDescent="0.3">
      <c r="A673">
        <v>653</v>
      </c>
      <c r="B673">
        <v>723</v>
      </c>
      <c r="C673">
        <v>780</v>
      </c>
      <c r="D673">
        <v>1</v>
      </c>
      <c r="E673" s="1">
        <v>45510</v>
      </c>
      <c r="F673">
        <v>13</v>
      </c>
      <c r="G673">
        <v>307.57</v>
      </c>
      <c r="H673" t="s">
        <v>8</v>
      </c>
      <c r="I673" cm="1">
        <f t="array" ref="I673">_xlfn.IFS(H673="Credit Card",1,H673="PayPal",2,H673="Cash",3,H673="Bank Transfer",4,TRUE,5)</f>
        <v>4</v>
      </c>
    </row>
    <row r="674" spans="1:9" x14ac:dyDescent="0.3">
      <c r="A674">
        <v>654</v>
      </c>
      <c r="B674">
        <v>313</v>
      </c>
      <c r="C674">
        <v>5</v>
      </c>
      <c r="D674">
        <v>5</v>
      </c>
      <c r="E674" s="1">
        <v>45575</v>
      </c>
      <c r="F674">
        <v>15</v>
      </c>
      <c r="G674">
        <v>1477.11</v>
      </c>
      <c r="H674" t="s">
        <v>11</v>
      </c>
      <c r="I674" cm="1">
        <f t="array" ref="I674">_xlfn.IFS(H674="Credit Card",1,H674="PayPal",2,H674="Cash",3,H674="Bank Transfer",4,TRUE,5)</f>
        <v>2</v>
      </c>
    </row>
    <row r="675" spans="1:9" x14ac:dyDescent="0.3">
      <c r="A675">
        <v>655</v>
      </c>
      <c r="B675">
        <v>285</v>
      </c>
      <c r="C675">
        <v>79</v>
      </c>
      <c r="D675">
        <v>4</v>
      </c>
      <c r="E675" s="1">
        <v>45425</v>
      </c>
      <c r="F675">
        <v>16</v>
      </c>
      <c r="G675">
        <v>1046.28</v>
      </c>
      <c r="H675" t="s">
        <v>10</v>
      </c>
      <c r="I675" cm="1">
        <f t="array" ref="I675">_xlfn.IFS(H675="Credit Card",1,H675="PayPal",2,H675="Cash",3,H675="Bank Transfer",4,TRUE,5)</f>
        <v>3</v>
      </c>
    </row>
    <row r="676" spans="1:9" x14ac:dyDescent="0.3">
      <c r="A676">
        <v>657</v>
      </c>
      <c r="B676">
        <v>948</v>
      </c>
      <c r="C676">
        <v>539</v>
      </c>
      <c r="D676">
        <v>1</v>
      </c>
      <c r="E676" s="1">
        <v>45368</v>
      </c>
      <c r="F676">
        <v>17</v>
      </c>
      <c r="G676">
        <v>1227.71</v>
      </c>
      <c r="H676" t="s">
        <v>8</v>
      </c>
      <c r="I676" cm="1">
        <f t="array" ref="I676">_xlfn.IFS(H676="Credit Card",1,H676="PayPal",2,H676="Cash",3,H676="Bank Transfer",4,TRUE,5)</f>
        <v>4</v>
      </c>
    </row>
    <row r="677" spans="1:9" x14ac:dyDescent="0.3">
      <c r="A677">
        <v>658</v>
      </c>
      <c r="B677">
        <v>46</v>
      </c>
      <c r="C677">
        <v>538</v>
      </c>
      <c r="D677">
        <v>4</v>
      </c>
      <c r="E677" s="1">
        <v>45324</v>
      </c>
      <c r="F677">
        <v>4</v>
      </c>
      <c r="G677">
        <v>1446.04</v>
      </c>
      <c r="H677" t="s">
        <v>9</v>
      </c>
      <c r="I677" cm="1">
        <f t="array" ref="I677">_xlfn.IFS(H677="Credit Card",1,H677="PayPal",2,H677="Cash",3,H677="Bank Transfer",4,TRUE,5)</f>
        <v>1</v>
      </c>
    </row>
    <row r="678" spans="1:9" x14ac:dyDescent="0.3">
      <c r="A678">
        <v>659</v>
      </c>
      <c r="B678">
        <v>938</v>
      </c>
      <c r="C678">
        <v>30</v>
      </c>
      <c r="D678">
        <v>4</v>
      </c>
      <c r="E678" s="1">
        <v>45616</v>
      </c>
      <c r="F678">
        <v>13</v>
      </c>
      <c r="G678">
        <v>1138.78</v>
      </c>
      <c r="H678" t="s">
        <v>11</v>
      </c>
      <c r="I678" cm="1">
        <f t="array" ref="I678">_xlfn.IFS(H678="Credit Card",1,H678="PayPal",2,H678="Cash",3,H678="Bank Transfer",4,TRUE,5)</f>
        <v>2</v>
      </c>
    </row>
    <row r="679" spans="1:9" x14ac:dyDescent="0.3">
      <c r="A679">
        <v>660</v>
      </c>
      <c r="B679">
        <v>610</v>
      </c>
      <c r="C679">
        <v>521</v>
      </c>
      <c r="D679">
        <v>4</v>
      </c>
      <c r="E679" s="1">
        <v>45412</v>
      </c>
      <c r="F679">
        <v>4</v>
      </c>
      <c r="G679">
        <v>1076.31</v>
      </c>
      <c r="H679" t="s">
        <v>9</v>
      </c>
      <c r="I679" cm="1">
        <f t="array" ref="I679">_xlfn.IFS(H679="Credit Card",1,H679="PayPal",2,H679="Cash",3,H679="Bank Transfer",4,TRUE,5)</f>
        <v>1</v>
      </c>
    </row>
    <row r="680" spans="1:9" x14ac:dyDescent="0.3">
      <c r="A680">
        <v>661</v>
      </c>
      <c r="B680">
        <v>225</v>
      </c>
      <c r="C680">
        <v>96</v>
      </c>
      <c r="D680">
        <v>4</v>
      </c>
      <c r="E680" s="1">
        <v>45596</v>
      </c>
      <c r="F680">
        <v>13</v>
      </c>
      <c r="G680">
        <v>221.26</v>
      </c>
      <c r="H680" t="s">
        <v>11</v>
      </c>
      <c r="I680" cm="1">
        <f t="array" ref="I680">_xlfn.IFS(H680="Credit Card",1,H680="PayPal",2,H680="Cash",3,H680="Bank Transfer",4,TRUE,5)</f>
        <v>2</v>
      </c>
    </row>
    <row r="681" spans="1:9" x14ac:dyDescent="0.3">
      <c r="A681">
        <v>662</v>
      </c>
      <c r="B681">
        <v>393</v>
      </c>
      <c r="C681">
        <v>449</v>
      </c>
      <c r="D681">
        <v>5</v>
      </c>
      <c r="E681" s="1">
        <v>45411</v>
      </c>
      <c r="F681">
        <v>9</v>
      </c>
      <c r="G681">
        <v>1467.67</v>
      </c>
      <c r="H681" t="s">
        <v>11</v>
      </c>
      <c r="I681" cm="1">
        <f t="array" ref="I681">_xlfn.IFS(H681="Credit Card",1,H681="PayPal",2,H681="Cash",3,H681="Bank Transfer",4,TRUE,5)</f>
        <v>2</v>
      </c>
    </row>
    <row r="682" spans="1:9" x14ac:dyDescent="0.3">
      <c r="A682">
        <v>663</v>
      </c>
      <c r="B682">
        <v>721</v>
      </c>
      <c r="C682">
        <v>237</v>
      </c>
      <c r="D682">
        <v>1</v>
      </c>
      <c r="E682" s="1">
        <v>45547</v>
      </c>
      <c r="F682">
        <v>10</v>
      </c>
      <c r="G682">
        <v>868.26</v>
      </c>
      <c r="H682" t="s">
        <v>9</v>
      </c>
      <c r="I682" cm="1">
        <f t="array" ref="I682">_xlfn.IFS(H682="Credit Card",1,H682="PayPal",2,H682="Cash",3,H682="Bank Transfer",4,TRUE,5)</f>
        <v>1</v>
      </c>
    </row>
    <row r="683" spans="1:9" x14ac:dyDescent="0.3">
      <c r="A683">
        <v>664</v>
      </c>
      <c r="B683">
        <v>904</v>
      </c>
      <c r="C683">
        <v>983</v>
      </c>
      <c r="D683">
        <v>4</v>
      </c>
      <c r="E683" s="1">
        <v>45493</v>
      </c>
      <c r="F683">
        <v>17</v>
      </c>
      <c r="G683">
        <v>1153.8499999999999</v>
      </c>
      <c r="H683" t="s">
        <v>10</v>
      </c>
      <c r="I683" cm="1">
        <f t="array" ref="I683">_xlfn.IFS(H683="Credit Card",1,H683="PayPal",2,H683="Cash",3,H683="Bank Transfer",4,TRUE,5)</f>
        <v>3</v>
      </c>
    </row>
    <row r="684" spans="1:9" x14ac:dyDescent="0.3">
      <c r="A684">
        <v>665</v>
      </c>
      <c r="B684">
        <v>937</v>
      </c>
      <c r="C684">
        <v>404</v>
      </c>
      <c r="D684">
        <v>3</v>
      </c>
      <c r="E684" s="1">
        <v>45295</v>
      </c>
      <c r="F684">
        <v>19</v>
      </c>
      <c r="G684">
        <v>21.1</v>
      </c>
      <c r="H684" t="s">
        <v>10</v>
      </c>
      <c r="I684" cm="1">
        <f t="array" ref="I684">_xlfn.IFS(H684="Credit Card",1,H684="PayPal",2,H684="Cash",3,H684="Bank Transfer",4,TRUE,5)</f>
        <v>3</v>
      </c>
    </row>
    <row r="685" spans="1:9" x14ac:dyDescent="0.3">
      <c r="A685">
        <v>666</v>
      </c>
      <c r="B685">
        <v>253</v>
      </c>
      <c r="C685">
        <v>801</v>
      </c>
      <c r="D685">
        <v>2</v>
      </c>
      <c r="E685" s="1">
        <v>45601</v>
      </c>
      <c r="F685">
        <v>15</v>
      </c>
      <c r="G685">
        <v>253.88</v>
      </c>
      <c r="H685" t="s">
        <v>8</v>
      </c>
      <c r="I685" cm="1">
        <f t="array" ref="I685">_xlfn.IFS(H685="Credit Card",1,H685="PayPal",2,H685="Cash",3,H685="Bank Transfer",4,TRUE,5)</f>
        <v>4</v>
      </c>
    </row>
    <row r="686" spans="1:9" x14ac:dyDescent="0.3">
      <c r="A686">
        <v>667</v>
      </c>
      <c r="B686">
        <v>267</v>
      </c>
      <c r="C686">
        <v>460</v>
      </c>
      <c r="D686">
        <v>2</v>
      </c>
      <c r="E686" s="1">
        <v>45585</v>
      </c>
      <c r="F686">
        <v>11</v>
      </c>
      <c r="G686">
        <v>252.68</v>
      </c>
      <c r="H686" t="s">
        <v>8</v>
      </c>
      <c r="I686" cm="1">
        <f t="array" ref="I686">_xlfn.IFS(H686="Credit Card",1,H686="PayPal",2,H686="Cash",3,H686="Bank Transfer",4,TRUE,5)</f>
        <v>4</v>
      </c>
    </row>
    <row r="687" spans="1:9" x14ac:dyDescent="0.3">
      <c r="A687">
        <v>668</v>
      </c>
      <c r="B687">
        <v>729</v>
      </c>
      <c r="C687">
        <v>309</v>
      </c>
      <c r="D687">
        <v>3</v>
      </c>
      <c r="E687" s="1">
        <v>45515</v>
      </c>
      <c r="F687">
        <v>18</v>
      </c>
      <c r="G687">
        <v>1855.01</v>
      </c>
      <c r="H687" t="s">
        <v>9</v>
      </c>
      <c r="I687" cm="1">
        <f t="array" ref="I687">_xlfn.IFS(H687="Credit Card",1,H687="PayPal",2,H687="Cash",3,H687="Bank Transfer",4,TRUE,5)</f>
        <v>1</v>
      </c>
    </row>
    <row r="688" spans="1:9" x14ac:dyDescent="0.3">
      <c r="A688">
        <v>669</v>
      </c>
      <c r="B688">
        <v>29</v>
      </c>
      <c r="C688">
        <v>301</v>
      </c>
      <c r="D688">
        <v>1</v>
      </c>
      <c r="E688" s="1">
        <v>45543</v>
      </c>
      <c r="F688">
        <v>15</v>
      </c>
      <c r="G688">
        <v>1030.08</v>
      </c>
      <c r="H688" t="s">
        <v>11</v>
      </c>
      <c r="I688" cm="1">
        <f t="array" ref="I688">_xlfn.IFS(H688="Credit Card",1,H688="PayPal",2,H688="Cash",3,H688="Bank Transfer",4,TRUE,5)</f>
        <v>2</v>
      </c>
    </row>
    <row r="689" spans="1:9" x14ac:dyDescent="0.3">
      <c r="A689">
        <v>670</v>
      </c>
      <c r="B689">
        <v>170</v>
      </c>
      <c r="C689">
        <v>202</v>
      </c>
      <c r="D689">
        <v>5</v>
      </c>
      <c r="E689" s="1">
        <v>45447</v>
      </c>
      <c r="F689">
        <v>4</v>
      </c>
      <c r="G689">
        <v>1551.91</v>
      </c>
      <c r="H689" t="s">
        <v>10</v>
      </c>
      <c r="I689" cm="1">
        <f t="array" ref="I689">_xlfn.IFS(H689="Credit Card",1,H689="PayPal",2,H689="Cash",3,H689="Bank Transfer",4,TRUE,5)</f>
        <v>3</v>
      </c>
    </row>
    <row r="690" spans="1:9" x14ac:dyDescent="0.3">
      <c r="A690">
        <v>671</v>
      </c>
      <c r="B690">
        <v>800</v>
      </c>
      <c r="C690">
        <v>343</v>
      </c>
      <c r="D690">
        <v>4</v>
      </c>
      <c r="E690" s="1">
        <v>45350</v>
      </c>
      <c r="F690">
        <v>14</v>
      </c>
      <c r="G690">
        <v>1645.96</v>
      </c>
      <c r="H690" t="s">
        <v>11</v>
      </c>
      <c r="I690" cm="1">
        <f t="array" ref="I690">_xlfn.IFS(H690="Credit Card",1,H690="PayPal",2,H690="Cash",3,H690="Bank Transfer",4,TRUE,5)</f>
        <v>2</v>
      </c>
    </row>
    <row r="691" spans="1:9" x14ac:dyDescent="0.3">
      <c r="A691">
        <v>672</v>
      </c>
      <c r="B691">
        <v>574</v>
      </c>
      <c r="C691">
        <v>648</v>
      </c>
      <c r="D691">
        <v>5</v>
      </c>
      <c r="E691" s="1">
        <v>45627</v>
      </c>
      <c r="F691">
        <v>10</v>
      </c>
      <c r="G691">
        <v>510.01</v>
      </c>
      <c r="H691" t="s">
        <v>11</v>
      </c>
      <c r="I691" cm="1">
        <f t="array" ref="I691">_xlfn.IFS(H691="Credit Card",1,H691="PayPal",2,H691="Cash",3,H691="Bank Transfer",4,TRUE,5)</f>
        <v>2</v>
      </c>
    </row>
    <row r="692" spans="1:9" x14ac:dyDescent="0.3">
      <c r="A692">
        <v>673</v>
      </c>
      <c r="B692">
        <v>463</v>
      </c>
      <c r="C692">
        <v>596</v>
      </c>
      <c r="D692">
        <v>4</v>
      </c>
      <c r="E692" s="1">
        <v>45393</v>
      </c>
      <c r="F692">
        <v>3</v>
      </c>
      <c r="G692">
        <v>655.94</v>
      </c>
      <c r="H692" t="s">
        <v>9</v>
      </c>
      <c r="I692" cm="1">
        <f t="array" ref="I692">_xlfn.IFS(H692="Credit Card",1,H692="PayPal",2,H692="Cash",3,H692="Bank Transfer",4,TRUE,5)</f>
        <v>1</v>
      </c>
    </row>
    <row r="693" spans="1:9" x14ac:dyDescent="0.3">
      <c r="A693">
        <v>674</v>
      </c>
      <c r="B693">
        <v>903</v>
      </c>
      <c r="C693">
        <v>917</v>
      </c>
      <c r="D693">
        <v>3</v>
      </c>
      <c r="E693" s="1">
        <v>45568</v>
      </c>
      <c r="F693">
        <v>14</v>
      </c>
      <c r="G693">
        <v>905.88</v>
      </c>
      <c r="H693" t="s">
        <v>10</v>
      </c>
      <c r="I693" cm="1">
        <f t="array" ref="I693">_xlfn.IFS(H693="Credit Card",1,H693="PayPal",2,H693="Cash",3,H693="Bank Transfer",4,TRUE,5)</f>
        <v>3</v>
      </c>
    </row>
    <row r="694" spans="1:9" x14ac:dyDescent="0.3">
      <c r="A694">
        <v>675</v>
      </c>
      <c r="B694">
        <v>38</v>
      </c>
      <c r="C694">
        <v>50</v>
      </c>
      <c r="D694">
        <v>3</v>
      </c>
      <c r="E694" s="1">
        <v>45322</v>
      </c>
      <c r="F694">
        <v>1</v>
      </c>
      <c r="G694">
        <v>93.52</v>
      </c>
      <c r="H694" t="s">
        <v>11</v>
      </c>
      <c r="I694" cm="1">
        <f t="array" ref="I694">_xlfn.IFS(H694="Credit Card",1,H694="PayPal",2,H694="Cash",3,H694="Bank Transfer",4,TRUE,5)</f>
        <v>2</v>
      </c>
    </row>
    <row r="695" spans="1:9" x14ac:dyDescent="0.3">
      <c r="A695">
        <v>676</v>
      </c>
      <c r="B695">
        <v>174</v>
      </c>
      <c r="C695">
        <v>63</v>
      </c>
      <c r="D695">
        <v>4</v>
      </c>
      <c r="E695" s="1">
        <v>45444</v>
      </c>
      <c r="F695">
        <v>10</v>
      </c>
      <c r="G695">
        <v>1137.51</v>
      </c>
      <c r="H695" t="s">
        <v>9</v>
      </c>
      <c r="I695" cm="1">
        <f t="array" ref="I695">_xlfn.IFS(H695="Credit Card",1,H695="PayPal",2,H695="Cash",3,H695="Bank Transfer",4,TRUE,5)</f>
        <v>1</v>
      </c>
    </row>
    <row r="696" spans="1:9" x14ac:dyDescent="0.3">
      <c r="A696">
        <v>677</v>
      </c>
      <c r="B696">
        <v>639</v>
      </c>
      <c r="C696">
        <v>663</v>
      </c>
      <c r="D696">
        <v>4</v>
      </c>
      <c r="E696" s="1">
        <v>45326</v>
      </c>
      <c r="F696">
        <v>10</v>
      </c>
      <c r="G696">
        <v>1281.56</v>
      </c>
      <c r="H696" t="s">
        <v>9</v>
      </c>
      <c r="I696" cm="1">
        <f t="array" ref="I696">_xlfn.IFS(H696="Credit Card",1,H696="PayPal",2,H696="Cash",3,H696="Bank Transfer",4,TRUE,5)</f>
        <v>1</v>
      </c>
    </row>
    <row r="697" spans="1:9" x14ac:dyDescent="0.3">
      <c r="A697">
        <v>678</v>
      </c>
      <c r="B697">
        <v>123</v>
      </c>
      <c r="C697">
        <v>353</v>
      </c>
      <c r="D697">
        <v>5</v>
      </c>
      <c r="E697" s="1">
        <v>45356</v>
      </c>
      <c r="F697">
        <v>18</v>
      </c>
      <c r="G697">
        <v>694.67</v>
      </c>
      <c r="H697" t="s">
        <v>10</v>
      </c>
      <c r="I697" cm="1">
        <f t="array" ref="I697">_xlfn.IFS(H697="Credit Card",1,H697="PayPal",2,H697="Cash",3,H697="Bank Transfer",4,TRUE,5)</f>
        <v>3</v>
      </c>
    </row>
    <row r="698" spans="1:9" x14ac:dyDescent="0.3">
      <c r="A698">
        <v>679</v>
      </c>
      <c r="B698">
        <v>394</v>
      </c>
      <c r="C698">
        <v>351</v>
      </c>
      <c r="D698">
        <v>1</v>
      </c>
      <c r="E698" s="1">
        <v>45411</v>
      </c>
      <c r="F698">
        <v>11</v>
      </c>
      <c r="G698">
        <v>472.57</v>
      </c>
      <c r="H698" t="s">
        <v>9</v>
      </c>
      <c r="I698" cm="1">
        <f t="array" ref="I698">_xlfn.IFS(H698="Credit Card",1,H698="PayPal",2,H698="Cash",3,H698="Bank Transfer",4,TRUE,5)</f>
        <v>1</v>
      </c>
    </row>
    <row r="699" spans="1:9" x14ac:dyDescent="0.3">
      <c r="A699">
        <v>680</v>
      </c>
      <c r="B699">
        <v>662</v>
      </c>
      <c r="C699">
        <v>323</v>
      </c>
      <c r="D699">
        <v>5</v>
      </c>
      <c r="E699" s="1">
        <v>45309</v>
      </c>
      <c r="F699">
        <v>19</v>
      </c>
      <c r="G699">
        <v>1620.38</v>
      </c>
      <c r="H699" t="s">
        <v>8</v>
      </c>
      <c r="I699" cm="1">
        <f t="array" ref="I699">_xlfn.IFS(H699="Credit Card",1,H699="PayPal",2,H699="Cash",3,H699="Bank Transfer",4,TRUE,5)</f>
        <v>4</v>
      </c>
    </row>
    <row r="700" spans="1:9" x14ac:dyDescent="0.3">
      <c r="A700">
        <v>681</v>
      </c>
      <c r="B700">
        <v>319</v>
      </c>
      <c r="C700">
        <v>347</v>
      </c>
      <c r="D700">
        <v>4</v>
      </c>
      <c r="E700" s="1">
        <v>45485</v>
      </c>
      <c r="F700">
        <v>11</v>
      </c>
      <c r="G700">
        <v>59.98</v>
      </c>
      <c r="H700" t="s">
        <v>9</v>
      </c>
      <c r="I700" cm="1">
        <f t="array" ref="I700">_xlfn.IFS(H700="Credit Card",1,H700="PayPal",2,H700="Cash",3,H700="Bank Transfer",4,TRUE,5)</f>
        <v>1</v>
      </c>
    </row>
    <row r="701" spans="1:9" x14ac:dyDescent="0.3">
      <c r="A701">
        <v>682</v>
      </c>
      <c r="B701">
        <v>337</v>
      </c>
      <c r="C701">
        <v>127</v>
      </c>
      <c r="D701">
        <v>3</v>
      </c>
      <c r="E701" s="1">
        <v>45497</v>
      </c>
      <c r="F701">
        <v>12</v>
      </c>
      <c r="G701">
        <v>105.91</v>
      </c>
      <c r="H701" t="s">
        <v>11</v>
      </c>
      <c r="I701" cm="1">
        <f t="array" ref="I701">_xlfn.IFS(H701="Credit Card",1,H701="PayPal",2,H701="Cash",3,H701="Bank Transfer",4,TRUE,5)</f>
        <v>2</v>
      </c>
    </row>
    <row r="702" spans="1:9" x14ac:dyDescent="0.3">
      <c r="A702">
        <v>683</v>
      </c>
      <c r="B702">
        <v>524</v>
      </c>
      <c r="C702">
        <v>727</v>
      </c>
      <c r="D702">
        <v>2</v>
      </c>
      <c r="E702" s="1">
        <v>45599</v>
      </c>
      <c r="F702">
        <v>12</v>
      </c>
      <c r="G702">
        <v>553.41999999999996</v>
      </c>
      <c r="H702" t="s">
        <v>11</v>
      </c>
      <c r="I702" cm="1">
        <f t="array" ref="I702">_xlfn.IFS(H702="Credit Card",1,H702="PayPal",2,H702="Cash",3,H702="Bank Transfer",4,TRUE,5)</f>
        <v>2</v>
      </c>
    </row>
    <row r="703" spans="1:9" x14ac:dyDescent="0.3">
      <c r="A703">
        <v>684</v>
      </c>
      <c r="B703">
        <v>372</v>
      </c>
      <c r="C703">
        <v>879</v>
      </c>
      <c r="D703">
        <v>4</v>
      </c>
      <c r="E703" s="1">
        <v>45348</v>
      </c>
      <c r="F703">
        <v>18</v>
      </c>
      <c r="G703">
        <v>1046.3</v>
      </c>
      <c r="H703" t="s">
        <v>10</v>
      </c>
      <c r="I703" cm="1">
        <f t="array" ref="I703">_xlfn.IFS(H703="Credit Card",1,H703="PayPal",2,H703="Cash",3,H703="Bank Transfer",4,TRUE,5)</f>
        <v>3</v>
      </c>
    </row>
    <row r="704" spans="1:9" x14ac:dyDescent="0.3">
      <c r="A704">
        <v>685</v>
      </c>
      <c r="B704">
        <v>29</v>
      </c>
      <c r="C704">
        <v>460</v>
      </c>
      <c r="D704">
        <v>5</v>
      </c>
      <c r="E704" s="1">
        <v>45455</v>
      </c>
      <c r="F704">
        <v>4</v>
      </c>
      <c r="G704">
        <v>1397.14</v>
      </c>
      <c r="H704" t="s">
        <v>11</v>
      </c>
      <c r="I704" cm="1">
        <f t="array" ref="I704">_xlfn.IFS(H704="Credit Card",1,H704="PayPal",2,H704="Cash",3,H704="Bank Transfer",4,TRUE,5)</f>
        <v>2</v>
      </c>
    </row>
    <row r="705" spans="1:9" x14ac:dyDescent="0.3">
      <c r="A705">
        <v>686</v>
      </c>
      <c r="B705">
        <v>739</v>
      </c>
      <c r="C705">
        <v>12</v>
      </c>
      <c r="D705">
        <v>2</v>
      </c>
      <c r="E705" s="1">
        <v>45528</v>
      </c>
      <c r="F705">
        <v>4</v>
      </c>
      <c r="G705">
        <v>1704.66</v>
      </c>
      <c r="H705" t="s">
        <v>8</v>
      </c>
      <c r="I705" cm="1">
        <f t="array" ref="I705">_xlfn.IFS(H705="Credit Card",1,H705="PayPal",2,H705="Cash",3,H705="Bank Transfer",4,TRUE,5)</f>
        <v>4</v>
      </c>
    </row>
    <row r="706" spans="1:9" x14ac:dyDescent="0.3">
      <c r="A706">
        <v>687</v>
      </c>
      <c r="B706">
        <v>633</v>
      </c>
      <c r="C706">
        <v>528</v>
      </c>
      <c r="D706">
        <v>3</v>
      </c>
      <c r="E706" s="1">
        <v>45429</v>
      </c>
      <c r="F706">
        <v>8</v>
      </c>
      <c r="G706">
        <v>97.68</v>
      </c>
      <c r="H706" t="s">
        <v>11</v>
      </c>
      <c r="I706" cm="1">
        <f t="array" ref="I706">_xlfn.IFS(H706="Credit Card",1,H706="PayPal",2,H706="Cash",3,H706="Bank Transfer",4,TRUE,5)</f>
        <v>2</v>
      </c>
    </row>
    <row r="707" spans="1:9" x14ac:dyDescent="0.3">
      <c r="A707">
        <v>688</v>
      </c>
      <c r="B707">
        <v>977</v>
      </c>
      <c r="C707">
        <v>48</v>
      </c>
      <c r="D707">
        <v>2</v>
      </c>
      <c r="E707" s="1">
        <v>45414</v>
      </c>
      <c r="F707">
        <v>1</v>
      </c>
      <c r="G707">
        <v>755.06</v>
      </c>
      <c r="H707" t="s">
        <v>9</v>
      </c>
      <c r="I707" cm="1">
        <f t="array" ref="I707">_xlfn.IFS(H707="Credit Card",1,H707="PayPal",2,H707="Cash",3,H707="Bank Transfer",4,TRUE,5)</f>
        <v>1</v>
      </c>
    </row>
    <row r="708" spans="1:9" x14ac:dyDescent="0.3">
      <c r="A708">
        <v>689</v>
      </c>
      <c r="B708">
        <v>368</v>
      </c>
      <c r="C708">
        <v>735</v>
      </c>
      <c r="D708">
        <v>1</v>
      </c>
      <c r="E708" s="1">
        <v>45489</v>
      </c>
      <c r="F708">
        <v>7</v>
      </c>
      <c r="G708">
        <v>95.96</v>
      </c>
      <c r="H708" t="s">
        <v>8</v>
      </c>
      <c r="I708" cm="1">
        <f t="array" ref="I708">_xlfn.IFS(H708="Credit Card",1,H708="PayPal",2,H708="Cash",3,H708="Bank Transfer",4,TRUE,5)</f>
        <v>4</v>
      </c>
    </row>
    <row r="709" spans="1:9" x14ac:dyDescent="0.3">
      <c r="A709">
        <v>690</v>
      </c>
      <c r="B709">
        <v>808</v>
      </c>
      <c r="C709">
        <v>593</v>
      </c>
      <c r="D709">
        <v>2</v>
      </c>
      <c r="E709" s="1">
        <v>45560</v>
      </c>
      <c r="F709">
        <v>14</v>
      </c>
      <c r="G709">
        <v>400.93</v>
      </c>
      <c r="H709" t="s">
        <v>10</v>
      </c>
      <c r="I709" cm="1">
        <f t="array" ref="I709">_xlfn.IFS(H709="Credit Card",1,H709="PayPal",2,H709="Cash",3,H709="Bank Transfer",4,TRUE,5)</f>
        <v>3</v>
      </c>
    </row>
    <row r="710" spans="1:9" x14ac:dyDescent="0.3">
      <c r="A710">
        <v>691</v>
      </c>
      <c r="B710">
        <v>922</v>
      </c>
      <c r="C710">
        <v>113</v>
      </c>
      <c r="D710">
        <v>3</v>
      </c>
      <c r="E710" s="1">
        <v>45530</v>
      </c>
      <c r="F710">
        <v>4</v>
      </c>
      <c r="G710">
        <v>1793.88</v>
      </c>
      <c r="H710" t="s">
        <v>11</v>
      </c>
      <c r="I710" cm="1">
        <f t="array" ref="I710">_xlfn.IFS(H710="Credit Card",1,H710="PayPal",2,H710="Cash",3,H710="Bank Transfer",4,TRUE,5)</f>
        <v>2</v>
      </c>
    </row>
    <row r="711" spans="1:9" x14ac:dyDescent="0.3">
      <c r="A711">
        <v>692</v>
      </c>
      <c r="B711">
        <v>354</v>
      </c>
      <c r="C711">
        <v>311</v>
      </c>
      <c r="D711">
        <v>1</v>
      </c>
      <c r="E711" s="1">
        <v>45490</v>
      </c>
      <c r="F711">
        <v>17</v>
      </c>
      <c r="G711">
        <v>702.43</v>
      </c>
      <c r="H711" t="s">
        <v>11</v>
      </c>
      <c r="I711" cm="1">
        <f t="array" ref="I711">_xlfn.IFS(H711="Credit Card",1,H711="PayPal",2,H711="Cash",3,H711="Bank Transfer",4,TRUE,5)</f>
        <v>2</v>
      </c>
    </row>
    <row r="712" spans="1:9" x14ac:dyDescent="0.3">
      <c r="A712">
        <v>693</v>
      </c>
      <c r="B712">
        <v>465</v>
      </c>
      <c r="C712">
        <v>332</v>
      </c>
      <c r="D712">
        <v>5</v>
      </c>
      <c r="E712" s="1">
        <v>45485</v>
      </c>
      <c r="F712">
        <v>12</v>
      </c>
      <c r="G712">
        <v>738.97</v>
      </c>
      <c r="H712" t="s">
        <v>9</v>
      </c>
      <c r="I712" cm="1">
        <f t="array" ref="I712">_xlfn.IFS(H712="Credit Card",1,H712="PayPal",2,H712="Cash",3,H712="Bank Transfer",4,TRUE,5)</f>
        <v>1</v>
      </c>
    </row>
    <row r="713" spans="1:9" x14ac:dyDescent="0.3">
      <c r="A713">
        <v>694</v>
      </c>
      <c r="B713">
        <v>263</v>
      </c>
      <c r="C713">
        <v>783</v>
      </c>
      <c r="D713">
        <v>3</v>
      </c>
      <c r="E713" s="1">
        <v>45481</v>
      </c>
      <c r="F713">
        <v>8</v>
      </c>
      <c r="G713">
        <v>667.39</v>
      </c>
      <c r="H713" t="s">
        <v>11</v>
      </c>
      <c r="I713" cm="1">
        <f t="array" ref="I713">_xlfn.IFS(H713="Credit Card",1,H713="PayPal",2,H713="Cash",3,H713="Bank Transfer",4,TRUE,5)</f>
        <v>2</v>
      </c>
    </row>
    <row r="714" spans="1:9" x14ac:dyDescent="0.3">
      <c r="A714">
        <v>695</v>
      </c>
      <c r="B714">
        <v>489</v>
      </c>
      <c r="C714">
        <v>557</v>
      </c>
      <c r="D714">
        <v>2</v>
      </c>
      <c r="E714" s="1">
        <v>45303</v>
      </c>
      <c r="F714">
        <v>18</v>
      </c>
      <c r="G714">
        <v>35.83</v>
      </c>
      <c r="H714" t="s">
        <v>8</v>
      </c>
      <c r="I714" cm="1">
        <f t="array" ref="I714">_xlfn.IFS(H714="Credit Card",1,H714="PayPal",2,H714="Cash",3,H714="Bank Transfer",4,TRUE,5)</f>
        <v>4</v>
      </c>
    </row>
    <row r="715" spans="1:9" x14ac:dyDescent="0.3">
      <c r="A715">
        <v>696</v>
      </c>
      <c r="B715">
        <v>142</v>
      </c>
      <c r="C715">
        <v>823</v>
      </c>
      <c r="D715">
        <v>1</v>
      </c>
      <c r="E715" s="1">
        <v>45588</v>
      </c>
      <c r="F715">
        <v>10</v>
      </c>
      <c r="G715">
        <v>1699.59</v>
      </c>
      <c r="H715" t="s">
        <v>10</v>
      </c>
      <c r="I715" cm="1">
        <f t="array" ref="I715">_xlfn.IFS(H715="Credit Card",1,H715="PayPal",2,H715="Cash",3,H715="Bank Transfer",4,TRUE,5)</f>
        <v>3</v>
      </c>
    </row>
    <row r="716" spans="1:9" x14ac:dyDescent="0.3">
      <c r="A716">
        <v>698</v>
      </c>
      <c r="B716">
        <v>38</v>
      </c>
      <c r="C716">
        <v>628</v>
      </c>
      <c r="D716">
        <v>5</v>
      </c>
      <c r="E716" s="1">
        <v>45464</v>
      </c>
      <c r="F716">
        <v>13</v>
      </c>
      <c r="G716">
        <v>750.78</v>
      </c>
      <c r="H716" t="s">
        <v>10</v>
      </c>
      <c r="I716" cm="1">
        <f t="array" ref="I716">_xlfn.IFS(H716="Credit Card",1,H716="PayPal",2,H716="Cash",3,H716="Bank Transfer",4,TRUE,5)</f>
        <v>3</v>
      </c>
    </row>
    <row r="717" spans="1:9" x14ac:dyDescent="0.3">
      <c r="A717">
        <v>699</v>
      </c>
      <c r="B717">
        <v>347</v>
      </c>
      <c r="C717">
        <v>457</v>
      </c>
      <c r="D717">
        <v>3</v>
      </c>
      <c r="E717" s="1">
        <v>45404</v>
      </c>
      <c r="F717">
        <v>5</v>
      </c>
      <c r="G717">
        <v>1105</v>
      </c>
      <c r="H717" t="s">
        <v>8</v>
      </c>
      <c r="I717" cm="1">
        <f t="array" ref="I717">_xlfn.IFS(H717="Credit Card",1,H717="PayPal",2,H717="Cash",3,H717="Bank Transfer",4,TRUE,5)</f>
        <v>4</v>
      </c>
    </row>
    <row r="718" spans="1:9" x14ac:dyDescent="0.3">
      <c r="A718">
        <v>700</v>
      </c>
      <c r="B718">
        <v>65</v>
      </c>
      <c r="C718">
        <v>37</v>
      </c>
      <c r="D718">
        <v>4</v>
      </c>
      <c r="E718" s="1">
        <v>45349</v>
      </c>
      <c r="F718">
        <v>2</v>
      </c>
      <c r="G718">
        <v>1180.94</v>
      </c>
      <c r="H718" t="s">
        <v>8</v>
      </c>
      <c r="I718" cm="1">
        <f t="array" ref="I718">_xlfn.IFS(H718="Credit Card",1,H718="PayPal",2,H718="Cash",3,H718="Bank Transfer",4,TRUE,5)</f>
        <v>4</v>
      </c>
    </row>
    <row r="719" spans="1:9" x14ac:dyDescent="0.3">
      <c r="A719">
        <v>702</v>
      </c>
      <c r="B719">
        <v>565</v>
      </c>
      <c r="C719">
        <v>829</v>
      </c>
      <c r="D719">
        <v>1</v>
      </c>
      <c r="E719" s="1">
        <v>45315</v>
      </c>
      <c r="F719">
        <v>7</v>
      </c>
      <c r="G719">
        <v>454.53</v>
      </c>
      <c r="H719" t="s">
        <v>11</v>
      </c>
      <c r="I719" cm="1">
        <f t="array" ref="I719">_xlfn.IFS(H719="Credit Card",1,H719="PayPal",2,H719="Cash",3,H719="Bank Transfer",4,TRUE,5)</f>
        <v>2</v>
      </c>
    </row>
    <row r="720" spans="1:9" x14ac:dyDescent="0.3">
      <c r="A720">
        <v>703</v>
      </c>
      <c r="B720">
        <v>862</v>
      </c>
      <c r="C720">
        <v>103</v>
      </c>
      <c r="D720">
        <v>1</v>
      </c>
      <c r="E720" s="1">
        <v>45604</v>
      </c>
      <c r="F720">
        <v>11</v>
      </c>
      <c r="G720">
        <v>1133.3499999999999</v>
      </c>
      <c r="H720" t="s">
        <v>10</v>
      </c>
      <c r="I720" cm="1">
        <f t="array" ref="I720">_xlfn.IFS(H720="Credit Card",1,H720="PayPal",2,H720="Cash",3,H720="Bank Transfer",4,TRUE,5)</f>
        <v>3</v>
      </c>
    </row>
    <row r="721" spans="1:9" x14ac:dyDescent="0.3">
      <c r="A721">
        <v>705</v>
      </c>
      <c r="B721">
        <v>889</v>
      </c>
      <c r="C721">
        <v>176</v>
      </c>
      <c r="D721">
        <v>4</v>
      </c>
      <c r="E721" s="1">
        <v>45522</v>
      </c>
      <c r="F721">
        <v>11</v>
      </c>
      <c r="G721">
        <v>454.83</v>
      </c>
      <c r="H721" t="s">
        <v>9</v>
      </c>
      <c r="I721" cm="1">
        <f t="array" ref="I721">_xlfn.IFS(H721="Credit Card",1,H721="PayPal",2,H721="Cash",3,H721="Bank Transfer",4,TRUE,5)</f>
        <v>1</v>
      </c>
    </row>
    <row r="722" spans="1:9" x14ac:dyDescent="0.3">
      <c r="A722">
        <v>706</v>
      </c>
      <c r="B722">
        <v>413</v>
      </c>
      <c r="C722">
        <v>948</v>
      </c>
      <c r="D722">
        <v>1</v>
      </c>
      <c r="E722" s="1">
        <v>45356</v>
      </c>
      <c r="F722">
        <v>16</v>
      </c>
      <c r="G722">
        <v>973</v>
      </c>
      <c r="H722" t="s">
        <v>8</v>
      </c>
      <c r="I722" cm="1">
        <f t="array" ref="I722">_xlfn.IFS(H722="Credit Card",1,H722="PayPal",2,H722="Cash",3,H722="Bank Transfer",4,TRUE,5)</f>
        <v>4</v>
      </c>
    </row>
    <row r="723" spans="1:9" x14ac:dyDescent="0.3">
      <c r="A723">
        <v>707</v>
      </c>
      <c r="B723">
        <v>386</v>
      </c>
      <c r="C723">
        <v>857</v>
      </c>
      <c r="D723">
        <v>5</v>
      </c>
      <c r="E723" s="1">
        <v>45614</v>
      </c>
      <c r="F723">
        <v>5</v>
      </c>
      <c r="G723">
        <v>125.14</v>
      </c>
      <c r="H723" t="s">
        <v>11</v>
      </c>
      <c r="I723" cm="1">
        <f t="array" ref="I723">_xlfn.IFS(H723="Credit Card",1,H723="PayPal",2,H723="Cash",3,H723="Bank Transfer",4,TRUE,5)</f>
        <v>2</v>
      </c>
    </row>
    <row r="724" spans="1:9" x14ac:dyDescent="0.3">
      <c r="A724">
        <v>708</v>
      </c>
      <c r="B724">
        <v>576</v>
      </c>
      <c r="C724">
        <v>910</v>
      </c>
      <c r="D724">
        <v>3</v>
      </c>
      <c r="E724" s="1">
        <v>45449</v>
      </c>
      <c r="F724">
        <v>16</v>
      </c>
      <c r="G724">
        <v>873.52</v>
      </c>
      <c r="H724" t="s">
        <v>9</v>
      </c>
      <c r="I724" cm="1">
        <f t="array" ref="I724">_xlfn.IFS(H724="Credit Card",1,H724="PayPal",2,H724="Cash",3,H724="Bank Transfer",4,TRUE,5)</f>
        <v>1</v>
      </c>
    </row>
    <row r="725" spans="1:9" x14ac:dyDescent="0.3">
      <c r="A725">
        <v>709</v>
      </c>
      <c r="B725">
        <v>440</v>
      </c>
      <c r="C725">
        <v>65</v>
      </c>
      <c r="D725">
        <v>5</v>
      </c>
      <c r="E725" s="1">
        <v>45535</v>
      </c>
      <c r="F725">
        <v>20</v>
      </c>
      <c r="G725">
        <v>1268.7</v>
      </c>
      <c r="H725" t="s">
        <v>9</v>
      </c>
      <c r="I725" cm="1">
        <f t="array" ref="I725">_xlfn.IFS(H725="Credit Card",1,H725="PayPal",2,H725="Cash",3,H725="Bank Transfer",4,TRUE,5)</f>
        <v>1</v>
      </c>
    </row>
    <row r="726" spans="1:9" x14ac:dyDescent="0.3">
      <c r="A726">
        <v>710</v>
      </c>
      <c r="B726">
        <v>786</v>
      </c>
      <c r="C726">
        <v>202</v>
      </c>
      <c r="D726">
        <v>1</v>
      </c>
      <c r="E726" s="1">
        <v>45322</v>
      </c>
      <c r="F726">
        <v>10</v>
      </c>
      <c r="G726">
        <v>763.51</v>
      </c>
      <c r="H726" t="s">
        <v>9</v>
      </c>
      <c r="I726" cm="1">
        <f t="array" ref="I726">_xlfn.IFS(H726="Credit Card",1,H726="PayPal",2,H726="Cash",3,H726="Bank Transfer",4,TRUE,5)</f>
        <v>1</v>
      </c>
    </row>
    <row r="727" spans="1:9" x14ac:dyDescent="0.3">
      <c r="A727">
        <v>711</v>
      </c>
      <c r="B727">
        <v>879</v>
      </c>
      <c r="C727">
        <v>32</v>
      </c>
      <c r="D727">
        <v>1</v>
      </c>
      <c r="E727" s="1">
        <v>45445</v>
      </c>
      <c r="F727">
        <v>19</v>
      </c>
      <c r="G727">
        <v>869.79</v>
      </c>
      <c r="H727" t="s">
        <v>11</v>
      </c>
      <c r="I727" cm="1">
        <f t="array" ref="I727">_xlfn.IFS(H727="Credit Card",1,H727="PayPal",2,H727="Cash",3,H727="Bank Transfer",4,TRUE,5)</f>
        <v>2</v>
      </c>
    </row>
    <row r="728" spans="1:9" x14ac:dyDescent="0.3">
      <c r="A728">
        <v>712</v>
      </c>
      <c r="B728">
        <v>100</v>
      </c>
      <c r="C728">
        <v>583</v>
      </c>
      <c r="D728">
        <v>5</v>
      </c>
      <c r="E728" s="1">
        <v>45549</v>
      </c>
      <c r="F728">
        <v>3</v>
      </c>
      <c r="G728">
        <v>603.25</v>
      </c>
      <c r="H728" t="s">
        <v>10</v>
      </c>
      <c r="I728" cm="1">
        <f t="array" ref="I728">_xlfn.IFS(H728="Credit Card",1,H728="PayPal",2,H728="Cash",3,H728="Bank Transfer",4,TRUE,5)</f>
        <v>3</v>
      </c>
    </row>
    <row r="729" spans="1:9" x14ac:dyDescent="0.3">
      <c r="A729">
        <v>713</v>
      </c>
      <c r="B729">
        <v>36</v>
      </c>
      <c r="C729">
        <v>560</v>
      </c>
      <c r="D729">
        <v>4</v>
      </c>
      <c r="E729" s="1">
        <v>45392</v>
      </c>
      <c r="F729">
        <v>15</v>
      </c>
      <c r="G729">
        <v>1588.11</v>
      </c>
      <c r="H729" t="s">
        <v>10</v>
      </c>
      <c r="I729" cm="1">
        <f t="array" ref="I729">_xlfn.IFS(H729="Credit Card",1,H729="PayPal",2,H729="Cash",3,H729="Bank Transfer",4,TRUE,5)</f>
        <v>3</v>
      </c>
    </row>
    <row r="730" spans="1:9" x14ac:dyDescent="0.3">
      <c r="A730">
        <v>715</v>
      </c>
      <c r="B730">
        <v>749</v>
      </c>
      <c r="C730">
        <v>615</v>
      </c>
      <c r="D730">
        <v>1</v>
      </c>
      <c r="E730" s="1">
        <v>45295</v>
      </c>
      <c r="F730">
        <v>8</v>
      </c>
      <c r="G730">
        <v>275.33999999999997</v>
      </c>
      <c r="H730" t="s">
        <v>8</v>
      </c>
      <c r="I730" cm="1">
        <f t="array" ref="I730">_xlfn.IFS(H730="Credit Card",1,H730="PayPal",2,H730="Cash",3,H730="Bank Transfer",4,TRUE,5)</f>
        <v>4</v>
      </c>
    </row>
    <row r="731" spans="1:9" x14ac:dyDescent="0.3">
      <c r="A731">
        <v>716</v>
      </c>
      <c r="B731">
        <v>943</v>
      </c>
      <c r="C731">
        <v>680</v>
      </c>
      <c r="D731">
        <v>1</v>
      </c>
      <c r="E731" s="1">
        <v>45513</v>
      </c>
      <c r="F731">
        <v>1</v>
      </c>
      <c r="G731">
        <v>386.01</v>
      </c>
      <c r="H731" t="s">
        <v>8</v>
      </c>
      <c r="I731" cm="1">
        <f t="array" ref="I731">_xlfn.IFS(H731="Credit Card",1,H731="PayPal",2,H731="Cash",3,H731="Bank Transfer",4,TRUE,5)</f>
        <v>4</v>
      </c>
    </row>
    <row r="732" spans="1:9" x14ac:dyDescent="0.3">
      <c r="A732">
        <v>717</v>
      </c>
      <c r="B732">
        <v>577</v>
      </c>
      <c r="C732">
        <v>796</v>
      </c>
      <c r="D732">
        <v>1</v>
      </c>
      <c r="E732" s="1">
        <v>45401</v>
      </c>
      <c r="F732">
        <v>9</v>
      </c>
      <c r="G732">
        <v>993.62</v>
      </c>
      <c r="H732" t="s">
        <v>11</v>
      </c>
      <c r="I732" cm="1">
        <f t="array" ref="I732">_xlfn.IFS(H732="Credit Card",1,H732="PayPal",2,H732="Cash",3,H732="Bank Transfer",4,TRUE,5)</f>
        <v>2</v>
      </c>
    </row>
    <row r="733" spans="1:9" x14ac:dyDescent="0.3">
      <c r="A733">
        <v>718</v>
      </c>
      <c r="B733">
        <v>483</v>
      </c>
      <c r="C733">
        <v>570</v>
      </c>
      <c r="D733">
        <v>2</v>
      </c>
      <c r="E733" s="1">
        <v>45321</v>
      </c>
      <c r="F733">
        <v>7</v>
      </c>
      <c r="G733">
        <v>1539.51</v>
      </c>
      <c r="H733" t="s">
        <v>10</v>
      </c>
      <c r="I733" cm="1">
        <f t="array" ref="I733">_xlfn.IFS(H733="Credit Card",1,H733="PayPal",2,H733="Cash",3,H733="Bank Transfer",4,TRUE,5)</f>
        <v>3</v>
      </c>
    </row>
    <row r="734" spans="1:9" x14ac:dyDescent="0.3">
      <c r="A734">
        <v>719</v>
      </c>
      <c r="B734">
        <v>605</v>
      </c>
      <c r="C734">
        <v>897</v>
      </c>
      <c r="D734">
        <v>5</v>
      </c>
      <c r="E734" s="1">
        <v>45555</v>
      </c>
      <c r="F734">
        <v>13</v>
      </c>
      <c r="G734">
        <v>184.12</v>
      </c>
      <c r="H734" t="s">
        <v>10</v>
      </c>
      <c r="I734" cm="1">
        <f t="array" ref="I734">_xlfn.IFS(H734="Credit Card",1,H734="PayPal",2,H734="Cash",3,H734="Bank Transfer",4,TRUE,5)</f>
        <v>3</v>
      </c>
    </row>
    <row r="735" spans="1:9" x14ac:dyDescent="0.3">
      <c r="A735">
        <v>720</v>
      </c>
      <c r="B735">
        <v>768</v>
      </c>
      <c r="C735">
        <v>445</v>
      </c>
      <c r="D735">
        <v>5</v>
      </c>
      <c r="E735" s="1">
        <v>45452</v>
      </c>
      <c r="F735">
        <v>20</v>
      </c>
      <c r="G735">
        <v>737.78</v>
      </c>
      <c r="H735" t="s">
        <v>9</v>
      </c>
      <c r="I735" cm="1">
        <f t="array" ref="I735">_xlfn.IFS(H735="Credit Card",1,H735="PayPal",2,H735="Cash",3,H735="Bank Transfer",4,TRUE,5)</f>
        <v>1</v>
      </c>
    </row>
    <row r="736" spans="1:9" x14ac:dyDescent="0.3">
      <c r="A736">
        <v>721</v>
      </c>
      <c r="B736">
        <v>347</v>
      </c>
      <c r="C736">
        <v>482</v>
      </c>
      <c r="D736">
        <v>2</v>
      </c>
      <c r="E736" s="1">
        <v>45405</v>
      </c>
      <c r="F736">
        <v>18</v>
      </c>
      <c r="G736">
        <v>824.56</v>
      </c>
      <c r="H736" t="s">
        <v>10</v>
      </c>
      <c r="I736" cm="1">
        <f t="array" ref="I736">_xlfn.IFS(H736="Credit Card",1,H736="PayPal",2,H736="Cash",3,H736="Bank Transfer",4,TRUE,5)</f>
        <v>3</v>
      </c>
    </row>
    <row r="737" spans="1:9" x14ac:dyDescent="0.3">
      <c r="A737">
        <v>723</v>
      </c>
      <c r="B737">
        <v>336</v>
      </c>
      <c r="C737">
        <v>72</v>
      </c>
      <c r="D737">
        <v>3</v>
      </c>
      <c r="E737" s="1">
        <v>45398</v>
      </c>
      <c r="F737">
        <v>15</v>
      </c>
      <c r="G737">
        <v>172.53</v>
      </c>
      <c r="H737" t="s">
        <v>8</v>
      </c>
      <c r="I737" cm="1">
        <f t="array" ref="I737">_xlfn.IFS(H737="Credit Card",1,H737="PayPal",2,H737="Cash",3,H737="Bank Transfer",4,TRUE,5)</f>
        <v>4</v>
      </c>
    </row>
    <row r="738" spans="1:9" x14ac:dyDescent="0.3">
      <c r="A738">
        <v>724</v>
      </c>
      <c r="B738">
        <v>306</v>
      </c>
      <c r="C738">
        <v>849</v>
      </c>
      <c r="D738">
        <v>1</v>
      </c>
      <c r="E738" s="1">
        <v>45593</v>
      </c>
      <c r="F738">
        <v>9</v>
      </c>
      <c r="G738">
        <v>651.59</v>
      </c>
      <c r="H738" t="s">
        <v>10</v>
      </c>
      <c r="I738" cm="1">
        <f t="array" ref="I738">_xlfn.IFS(H738="Credit Card",1,H738="PayPal",2,H738="Cash",3,H738="Bank Transfer",4,TRUE,5)</f>
        <v>3</v>
      </c>
    </row>
    <row r="739" spans="1:9" x14ac:dyDescent="0.3">
      <c r="A739">
        <v>725</v>
      </c>
      <c r="B739">
        <v>172</v>
      </c>
      <c r="C739">
        <v>206</v>
      </c>
      <c r="D739">
        <v>4</v>
      </c>
      <c r="E739" s="1">
        <v>45614</v>
      </c>
      <c r="F739">
        <v>6</v>
      </c>
      <c r="G739">
        <v>1548.22</v>
      </c>
      <c r="H739" t="s">
        <v>11</v>
      </c>
      <c r="I739" cm="1">
        <f t="array" ref="I739">_xlfn.IFS(H739="Credit Card",1,H739="PayPal",2,H739="Cash",3,H739="Bank Transfer",4,TRUE,5)</f>
        <v>2</v>
      </c>
    </row>
    <row r="740" spans="1:9" x14ac:dyDescent="0.3">
      <c r="A740">
        <v>726</v>
      </c>
      <c r="B740">
        <v>657</v>
      </c>
      <c r="C740">
        <v>62</v>
      </c>
      <c r="D740">
        <v>3</v>
      </c>
      <c r="E740" s="1">
        <v>45617</v>
      </c>
      <c r="F740">
        <v>1</v>
      </c>
      <c r="G740">
        <v>355.73</v>
      </c>
      <c r="H740" t="s">
        <v>11</v>
      </c>
      <c r="I740" cm="1">
        <f t="array" ref="I740">_xlfn.IFS(H740="Credit Card",1,H740="PayPal",2,H740="Cash",3,H740="Bank Transfer",4,TRUE,5)</f>
        <v>2</v>
      </c>
    </row>
    <row r="741" spans="1:9" x14ac:dyDescent="0.3">
      <c r="A741">
        <v>727</v>
      </c>
      <c r="B741">
        <v>429</v>
      </c>
      <c r="C741">
        <v>937</v>
      </c>
      <c r="D741">
        <v>5</v>
      </c>
      <c r="E741" s="1">
        <v>45326</v>
      </c>
      <c r="F741">
        <v>18</v>
      </c>
      <c r="G741">
        <v>1528.66</v>
      </c>
      <c r="H741" t="s">
        <v>11</v>
      </c>
      <c r="I741" cm="1">
        <f t="array" ref="I741">_xlfn.IFS(H741="Credit Card",1,H741="PayPal",2,H741="Cash",3,H741="Bank Transfer",4,TRUE,5)</f>
        <v>2</v>
      </c>
    </row>
    <row r="742" spans="1:9" x14ac:dyDescent="0.3">
      <c r="A742">
        <v>728</v>
      </c>
      <c r="B742">
        <v>424</v>
      </c>
      <c r="C742">
        <v>465</v>
      </c>
      <c r="D742">
        <v>2</v>
      </c>
      <c r="E742" s="1">
        <v>45417</v>
      </c>
      <c r="F742">
        <v>4</v>
      </c>
      <c r="G742">
        <v>530.22</v>
      </c>
      <c r="H742" t="s">
        <v>9</v>
      </c>
      <c r="I742" cm="1">
        <f t="array" ref="I742">_xlfn.IFS(H742="Credit Card",1,H742="PayPal",2,H742="Cash",3,H742="Bank Transfer",4,TRUE,5)</f>
        <v>1</v>
      </c>
    </row>
    <row r="743" spans="1:9" x14ac:dyDescent="0.3">
      <c r="A743">
        <v>729</v>
      </c>
      <c r="B743">
        <v>252</v>
      </c>
      <c r="C743">
        <v>402</v>
      </c>
      <c r="D743">
        <v>5</v>
      </c>
      <c r="E743" s="1">
        <v>45432</v>
      </c>
      <c r="F743">
        <v>17</v>
      </c>
      <c r="G743">
        <v>1036.03</v>
      </c>
      <c r="H743" t="s">
        <v>9</v>
      </c>
      <c r="I743" cm="1">
        <f t="array" ref="I743">_xlfn.IFS(H743="Credit Card",1,H743="PayPal",2,H743="Cash",3,H743="Bank Transfer",4,TRUE,5)</f>
        <v>1</v>
      </c>
    </row>
    <row r="744" spans="1:9" x14ac:dyDescent="0.3">
      <c r="A744">
        <v>730</v>
      </c>
      <c r="B744">
        <v>708</v>
      </c>
      <c r="C744">
        <v>926</v>
      </c>
      <c r="D744">
        <v>4</v>
      </c>
      <c r="E744" s="1">
        <v>45585</v>
      </c>
      <c r="F744">
        <v>5</v>
      </c>
      <c r="G744">
        <v>691.02</v>
      </c>
      <c r="H744" t="s">
        <v>10</v>
      </c>
      <c r="I744" cm="1">
        <f t="array" ref="I744">_xlfn.IFS(H744="Credit Card",1,H744="PayPal",2,H744="Cash",3,H744="Bank Transfer",4,TRUE,5)</f>
        <v>3</v>
      </c>
    </row>
    <row r="745" spans="1:9" x14ac:dyDescent="0.3">
      <c r="A745">
        <v>731</v>
      </c>
      <c r="B745">
        <v>427</v>
      </c>
      <c r="C745">
        <v>810</v>
      </c>
      <c r="D745">
        <v>3</v>
      </c>
      <c r="E745" s="1">
        <v>45311</v>
      </c>
      <c r="F745">
        <v>19</v>
      </c>
      <c r="G745">
        <v>843.2</v>
      </c>
      <c r="H745" t="s">
        <v>8</v>
      </c>
      <c r="I745" cm="1">
        <f t="array" ref="I745">_xlfn.IFS(H745="Credit Card",1,H745="PayPal",2,H745="Cash",3,H745="Bank Transfer",4,TRUE,5)</f>
        <v>4</v>
      </c>
    </row>
    <row r="746" spans="1:9" x14ac:dyDescent="0.3">
      <c r="A746">
        <v>732</v>
      </c>
      <c r="B746">
        <v>839</v>
      </c>
      <c r="C746">
        <v>206</v>
      </c>
      <c r="D746">
        <v>3</v>
      </c>
      <c r="E746" s="1">
        <v>45572</v>
      </c>
      <c r="F746">
        <v>1</v>
      </c>
      <c r="G746">
        <v>221.74</v>
      </c>
      <c r="H746" t="s">
        <v>10</v>
      </c>
      <c r="I746" cm="1">
        <f t="array" ref="I746">_xlfn.IFS(H746="Credit Card",1,H746="PayPal",2,H746="Cash",3,H746="Bank Transfer",4,TRUE,5)</f>
        <v>3</v>
      </c>
    </row>
    <row r="747" spans="1:9" x14ac:dyDescent="0.3">
      <c r="A747">
        <v>733</v>
      </c>
      <c r="B747">
        <v>813</v>
      </c>
      <c r="C747">
        <v>406</v>
      </c>
      <c r="D747">
        <v>1</v>
      </c>
      <c r="E747" s="1">
        <v>45331</v>
      </c>
      <c r="F747">
        <v>5</v>
      </c>
      <c r="G747">
        <v>1907.38</v>
      </c>
      <c r="H747" t="s">
        <v>11</v>
      </c>
      <c r="I747" cm="1">
        <f t="array" ref="I747">_xlfn.IFS(H747="Credit Card",1,H747="PayPal",2,H747="Cash",3,H747="Bank Transfer",4,TRUE,5)</f>
        <v>2</v>
      </c>
    </row>
    <row r="748" spans="1:9" x14ac:dyDescent="0.3">
      <c r="A748">
        <v>734</v>
      </c>
      <c r="B748">
        <v>811</v>
      </c>
      <c r="C748">
        <v>304</v>
      </c>
      <c r="D748">
        <v>5</v>
      </c>
      <c r="E748" s="1">
        <v>45575</v>
      </c>
      <c r="F748">
        <v>3</v>
      </c>
      <c r="G748">
        <v>1580.18</v>
      </c>
      <c r="H748" t="s">
        <v>11</v>
      </c>
      <c r="I748" cm="1">
        <f t="array" ref="I748">_xlfn.IFS(H748="Credit Card",1,H748="PayPal",2,H748="Cash",3,H748="Bank Transfer",4,TRUE,5)</f>
        <v>2</v>
      </c>
    </row>
    <row r="749" spans="1:9" x14ac:dyDescent="0.3">
      <c r="A749">
        <v>735</v>
      </c>
      <c r="B749">
        <v>856</v>
      </c>
      <c r="C749">
        <v>836</v>
      </c>
      <c r="D749">
        <v>5</v>
      </c>
      <c r="E749" s="1">
        <v>45423</v>
      </c>
      <c r="F749">
        <v>6</v>
      </c>
      <c r="G749">
        <v>82.23</v>
      </c>
      <c r="H749" t="s">
        <v>11</v>
      </c>
      <c r="I749" cm="1">
        <f t="array" ref="I749">_xlfn.IFS(H749="Credit Card",1,H749="PayPal",2,H749="Cash",3,H749="Bank Transfer",4,TRUE,5)</f>
        <v>2</v>
      </c>
    </row>
    <row r="750" spans="1:9" x14ac:dyDescent="0.3">
      <c r="A750">
        <v>736</v>
      </c>
      <c r="B750">
        <v>700</v>
      </c>
      <c r="C750">
        <v>498</v>
      </c>
      <c r="D750">
        <v>4</v>
      </c>
      <c r="E750" s="1">
        <v>45609</v>
      </c>
      <c r="F750">
        <v>13</v>
      </c>
      <c r="G750">
        <v>1611.94</v>
      </c>
      <c r="H750" t="s">
        <v>9</v>
      </c>
      <c r="I750" cm="1">
        <f t="array" ref="I750">_xlfn.IFS(H750="Credit Card",1,H750="PayPal",2,H750="Cash",3,H750="Bank Transfer",4,TRUE,5)</f>
        <v>1</v>
      </c>
    </row>
    <row r="751" spans="1:9" x14ac:dyDescent="0.3">
      <c r="A751">
        <v>737</v>
      </c>
      <c r="B751">
        <v>647</v>
      </c>
      <c r="C751">
        <v>512</v>
      </c>
      <c r="D751">
        <v>2</v>
      </c>
      <c r="E751" s="1">
        <v>45487</v>
      </c>
      <c r="F751">
        <v>17</v>
      </c>
      <c r="G751">
        <v>1993.67</v>
      </c>
      <c r="H751" t="s">
        <v>9</v>
      </c>
      <c r="I751" cm="1">
        <f t="array" ref="I751">_xlfn.IFS(H751="Credit Card",1,H751="PayPal",2,H751="Cash",3,H751="Bank Transfer",4,TRUE,5)</f>
        <v>1</v>
      </c>
    </row>
    <row r="752" spans="1:9" x14ac:dyDescent="0.3">
      <c r="A752">
        <v>738</v>
      </c>
      <c r="B752">
        <v>265</v>
      </c>
      <c r="C752">
        <v>426</v>
      </c>
      <c r="D752">
        <v>5</v>
      </c>
      <c r="E752" s="1">
        <v>45346</v>
      </c>
      <c r="F752">
        <v>2</v>
      </c>
      <c r="G752">
        <v>770.52</v>
      </c>
      <c r="H752" t="s">
        <v>11</v>
      </c>
      <c r="I752" cm="1">
        <f t="array" ref="I752">_xlfn.IFS(H752="Credit Card",1,H752="PayPal",2,H752="Cash",3,H752="Bank Transfer",4,TRUE,5)</f>
        <v>2</v>
      </c>
    </row>
    <row r="753" spans="1:9" x14ac:dyDescent="0.3">
      <c r="A753">
        <v>739</v>
      </c>
      <c r="B753">
        <v>112</v>
      </c>
      <c r="C753">
        <v>370</v>
      </c>
      <c r="D753">
        <v>5</v>
      </c>
      <c r="E753" s="1">
        <v>45555</v>
      </c>
      <c r="F753">
        <v>3</v>
      </c>
      <c r="G753">
        <v>1463.55</v>
      </c>
      <c r="H753" t="s">
        <v>8</v>
      </c>
      <c r="I753" cm="1">
        <f t="array" ref="I753">_xlfn.IFS(H753="Credit Card",1,H753="PayPal",2,H753="Cash",3,H753="Bank Transfer",4,TRUE,5)</f>
        <v>4</v>
      </c>
    </row>
    <row r="754" spans="1:9" x14ac:dyDescent="0.3">
      <c r="A754">
        <v>740</v>
      </c>
      <c r="B754">
        <v>946</v>
      </c>
      <c r="C754">
        <v>310</v>
      </c>
      <c r="D754">
        <v>1</v>
      </c>
      <c r="E754" s="1">
        <v>45405</v>
      </c>
      <c r="F754">
        <v>1</v>
      </c>
      <c r="G754">
        <v>1608.01</v>
      </c>
      <c r="H754" t="s">
        <v>9</v>
      </c>
      <c r="I754" cm="1">
        <f t="array" ref="I754">_xlfn.IFS(H754="Credit Card",1,H754="PayPal",2,H754="Cash",3,H754="Bank Transfer",4,TRUE,5)</f>
        <v>1</v>
      </c>
    </row>
    <row r="755" spans="1:9" x14ac:dyDescent="0.3">
      <c r="A755">
        <v>741</v>
      </c>
      <c r="B755">
        <v>428</v>
      </c>
      <c r="C755">
        <v>825</v>
      </c>
      <c r="D755">
        <v>2</v>
      </c>
      <c r="E755" s="1">
        <v>45331</v>
      </c>
      <c r="F755">
        <v>17</v>
      </c>
      <c r="G755">
        <v>269.23</v>
      </c>
      <c r="H755" t="s">
        <v>9</v>
      </c>
      <c r="I755" cm="1">
        <f t="array" ref="I755">_xlfn.IFS(H755="Credit Card",1,H755="PayPal",2,H755="Cash",3,H755="Bank Transfer",4,TRUE,5)</f>
        <v>1</v>
      </c>
    </row>
    <row r="756" spans="1:9" x14ac:dyDescent="0.3">
      <c r="A756">
        <v>742</v>
      </c>
      <c r="B756">
        <v>137</v>
      </c>
      <c r="C756">
        <v>377</v>
      </c>
      <c r="D756">
        <v>4</v>
      </c>
      <c r="E756" s="1">
        <v>45490</v>
      </c>
      <c r="F756">
        <v>12</v>
      </c>
      <c r="G756">
        <v>675.46</v>
      </c>
      <c r="H756" t="s">
        <v>11</v>
      </c>
      <c r="I756" cm="1">
        <f t="array" ref="I756">_xlfn.IFS(H756="Credit Card",1,H756="PayPal",2,H756="Cash",3,H756="Bank Transfer",4,TRUE,5)</f>
        <v>2</v>
      </c>
    </row>
    <row r="757" spans="1:9" x14ac:dyDescent="0.3">
      <c r="A757">
        <v>743</v>
      </c>
      <c r="B757">
        <v>242</v>
      </c>
      <c r="C757">
        <v>49</v>
      </c>
      <c r="D757">
        <v>4</v>
      </c>
      <c r="E757" s="1">
        <v>45344</v>
      </c>
      <c r="F757">
        <v>9</v>
      </c>
      <c r="G757">
        <v>1308.56</v>
      </c>
      <c r="H757" t="s">
        <v>9</v>
      </c>
      <c r="I757" cm="1">
        <f t="array" ref="I757">_xlfn.IFS(H757="Credit Card",1,H757="PayPal",2,H757="Cash",3,H757="Bank Transfer",4,TRUE,5)</f>
        <v>1</v>
      </c>
    </row>
    <row r="758" spans="1:9" x14ac:dyDescent="0.3">
      <c r="A758">
        <v>744</v>
      </c>
      <c r="B758">
        <v>333</v>
      </c>
      <c r="C758">
        <v>782</v>
      </c>
      <c r="D758">
        <v>4</v>
      </c>
      <c r="E758" s="1">
        <v>45427</v>
      </c>
      <c r="F758">
        <v>19</v>
      </c>
      <c r="G758">
        <v>365.46</v>
      </c>
      <c r="H758" t="s">
        <v>11</v>
      </c>
      <c r="I758" cm="1">
        <f t="array" ref="I758">_xlfn.IFS(H758="Credit Card",1,H758="PayPal",2,H758="Cash",3,H758="Bank Transfer",4,TRUE,5)</f>
        <v>2</v>
      </c>
    </row>
    <row r="759" spans="1:9" x14ac:dyDescent="0.3">
      <c r="A759">
        <v>745</v>
      </c>
      <c r="B759">
        <v>854</v>
      </c>
      <c r="C759">
        <v>215</v>
      </c>
      <c r="D759">
        <v>3</v>
      </c>
      <c r="E759" s="1">
        <v>45421</v>
      </c>
      <c r="F759">
        <v>6</v>
      </c>
      <c r="G759">
        <v>391.93</v>
      </c>
      <c r="H759" t="s">
        <v>9</v>
      </c>
      <c r="I759" cm="1">
        <f t="array" ref="I759">_xlfn.IFS(H759="Credit Card",1,H759="PayPal",2,H759="Cash",3,H759="Bank Transfer",4,TRUE,5)</f>
        <v>1</v>
      </c>
    </row>
    <row r="760" spans="1:9" x14ac:dyDescent="0.3">
      <c r="A760">
        <v>746</v>
      </c>
      <c r="B760">
        <v>830</v>
      </c>
      <c r="C760">
        <v>950</v>
      </c>
      <c r="D760">
        <v>3</v>
      </c>
      <c r="E760" s="1">
        <v>45485</v>
      </c>
      <c r="F760">
        <v>20</v>
      </c>
      <c r="G760">
        <v>743.17</v>
      </c>
      <c r="H760" t="s">
        <v>11</v>
      </c>
      <c r="I760" cm="1">
        <f t="array" ref="I760">_xlfn.IFS(H760="Credit Card",1,H760="PayPal",2,H760="Cash",3,H760="Bank Transfer",4,TRUE,5)</f>
        <v>2</v>
      </c>
    </row>
    <row r="761" spans="1:9" x14ac:dyDescent="0.3">
      <c r="A761">
        <v>747</v>
      </c>
      <c r="B761">
        <v>835</v>
      </c>
      <c r="C761">
        <v>88</v>
      </c>
      <c r="D761">
        <v>2</v>
      </c>
      <c r="E761" s="1">
        <v>45609</v>
      </c>
      <c r="F761">
        <v>7</v>
      </c>
      <c r="G761">
        <v>796.83</v>
      </c>
      <c r="H761" t="s">
        <v>11</v>
      </c>
      <c r="I761" cm="1">
        <f t="array" ref="I761">_xlfn.IFS(H761="Credit Card",1,H761="PayPal",2,H761="Cash",3,H761="Bank Transfer",4,TRUE,5)</f>
        <v>2</v>
      </c>
    </row>
    <row r="762" spans="1:9" x14ac:dyDescent="0.3">
      <c r="A762">
        <v>748</v>
      </c>
      <c r="B762">
        <v>224</v>
      </c>
      <c r="C762">
        <v>546</v>
      </c>
      <c r="D762">
        <v>2</v>
      </c>
      <c r="E762" s="1">
        <v>45434</v>
      </c>
      <c r="F762">
        <v>4</v>
      </c>
      <c r="G762">
        <v>1371.02</v>
      </c>
      <c r="H762" t="s">
        <v>9</v>
      </c>
      <c r="I762" cm="1">
        <f t="array" ref="I762">_xlfn.IFS(H762="Credit Card",1,H762="PayPal",2,H762="Cash",3,H762="Bank Transfer",4,TRUE,5)</f>
        <v>1</v>
      </c>
    </row>
    <row r="763" spans="1:9" x14ac:dyDescent="0.3">
      <c r="A763">
        <v>749</v>
      </c>
      <c r="B763">
        <v>192</v>
      </c>
      <c r="C763">
        <v>460</v>
      </c>
      <c r="D763">
        <v>3</v>
      </c>
      <c r="E763" s="1">
        <v>45367</v>
      </c>
      <c r="F763">
        <v>2</v>
      </c>
      <c r="G763">
        <v>1207.28</v>
      </c>
      <c r="H763" t="s">
        <v>10</v>
      </c>
      <c r="I763" cm="1">
        <f t="array" ref="I763">_xlfn.IFS(H763="Credit Card",1,H763="PayPal",2,H763="Cash",3,H763="Bank Transfer",4,TRUE,5)</f>
        <v>3</v>
      </c>
    </row>
    <row r="764" spans="1:9" x14ac:dyDescent="0.3">
      <c r="A764">
        <v>750</v>
      </c>
      <c r="B764">
        <v>551</v>
      </c>
      <c r="C764">
        <v>729</v>
      </c>
      <c r="D764">
        <v>2</v>
      </c>
      <c r="E764" s="1">
        <v>45484</v>
      </c>
      <c r="F764">
        <v>18</v>
      </c>
      <c r="G764">
        <v>1567.88</v>
      </c>
      <c r="H764" t="s">
        <v>10</v>
      </c>
      <c r="I764" cm="1">
        <f t="array" ref="I764">_xlfn.IFS(H764="Credit Card",1,H764="PayPal",2,H764="Cash",3,H764="Bank Transfer",4,TRUE,5)</f>
        <v>3</v>
      </c>
    </row>
    <row r="765" spans="1:9" x14ac:dyDescent="0.3">
      <c r="A765">
        <v>751</v>
      </c>
      <c r="B765">
        <v>252</v>
      </c>
      <c r="C765">
        <v>650</v>
      </c>
      <c r="D765">
        <v>3</v>
      </c>
      <c r="E765" s="1">
        <v>45557</v>
      </c>
      <c r="F765">
        <v>1</v>
      </c>
      <c r="G765">
        <v>1861.51</v>
      </c>
      <c r="H765" t="s">
        <v>10</v>
      </c>
      <c r="I765" cm="1">
        <f t="array" ref="I765">_xlfn.IFS(H765="Credit Card",1,H765="PayPal",2,H765="Cash",3,H765="Bank Transfer",4,TRUE,5)</f>
        <v>3</v>
      </c>
    </row>
    <row r="766" spans="1:9" x14ac:dyDescent="0.3">
      <c r="A766">
        <v>752</v>
      </c>
      <c r="B766">
        <v>874</v>
      </c>
      <c r="C766">
        <v>724</v>
      </c>
      <c r="D766">
        <v>1</v>
      </c>
      <c r="E766" s="1">
        <v>45432</v>
      </c>
      <c r="F766">
        <v>14</v>
      </c>
      <c r="G766">
        <v>753.91</v>
      </c>
      <c r="H766" t="s">
        <v>10</v>
      </c>
      <c r="I766" cm="1">
        <f t="array" ref="I766">_xlfn.IFS(H766="Credit Card",1,H766="PayPal",2,H766="Cash",3,H766="Bank Transfer",4,TRUE,5)</f>
        <v>3</v>
      </c>
    </row>
    <row r="767" spans="1:9" x14ac:dyDescent="0.3">
      <c r="A767">
        <v>753</v>
      </c>
      <c r="B767">
        <v>261</v>
      </c>
      <c r="C767">
        <v>743</v>
      </c>
      <c r="D767">
        <v>2</v>
      </c>
      <c r="E767" s="1">
        <v>45316</v>
      </c>
      <c r="F767">
        <v>19</v>
      </c>
      <c r="G767">
        <v>1930.05</v>
      </c>
      <c r="H767" t="s">
        <v>8</v>
      </c>
      <c r="I767" cm="1">
        <f t="array" ref="I767">_xlfn.IFS(H767="Credit Card",1,H767="PayPal",2,H767="Cash",3,H767="Bank Transfer",4,TRUE,5)</f>
        <v>4</v>
      </c>
    </row>
    <row r="768" spans="1:9" x14ac:dyDescent="0.3">
      <c r="A768">
        <v>754</v>
      </c>
      <c r="B768">
        <v>993</v>
      </c>
      <c r="C768">
        <v>79</v>
      </c>
      <c r="D768">
        <v>4</v>
      </c>
      <c r="E768" s="1">
        <v>45460</v>
      </c>
      <c r="F768">
        <v>5</v>
      </c>
      <c r="G768">
        <v>140.4</v>
      </c>
      <c r="H768" t="s">
        <v>8</v>
      </c>
      <c r="I768" cm="1">
        <f t="array" ref="I768">_xlfn.IFS(H768="Credit Card",1,H768="PayPal",2,H768="Cash",3,H768="Bank Transfer",4,TRUE,5)</f>
        <v>4</v>
      </c>
    </row>
    <row r="769" spans="1:9" x14ac:dyDescent="0.3">
      <c r="A769">
        <v>755</v>
      </c>
      <c r="B769">
        <v>511</v>
      </c>
      <c r="C769">
        <v>403</v>
      </c>
      <c r="D769">
        <v>1</v>
      </c>
      <c r="E769" s="1">
        <v>45470</v>
      </c>
      <c r="F769">
        <v>16</v>
      </c>
      <c r="G769">
        <v>602.79</v>
      </c>
      <c r="H769" t="s">
        <v>11</v>
      </c>
      <c r="I769" cm="1">
        <f t="array" ref="I769">_xlfn.IFS(H769="Credit Card",1,H769="PayPal",2,H769="Cash",3,H769="Bank Transfer",4,TRUE,5)</f>
        <v>2</v>
      </c>
    </row>
    <row r="770" spans="1:9" x14ac:dyDescent="0.3">
      <c r="A770">
        <v>756</v>
      </c>
      <c r="B770">
        <v>811</v>
      </c>
      <c r="C770">
        <v>175</v>
      </c>
      <c r="D770">
        <v>3</v>
      </c>
      <c r="E770" s="1">
        <v>45316</v>
      </c>
      <c r="F770">
        <v>13</v>
      </c>
      <c r="G770">
        <v>1993.75</v>
      </c>
      <c r="H770" t="s">
        <v>9</v>
      </c>
      <c r="I770" cm="1">
        <f t="array" ref="I770">_xlfn.IFS(H770="Credit Card",1,H770="PayPal",2,H770="Cash",3,H770="Bank Transfer",4,TRUE,5)</f>
        <v>1</v>
      </c>
    </row>
    <row r="771" spans="1:9" x14ac:dyDescent="0.3">
      <c r="A771">
        <v>757</v>
      </c>
      <c r="B771">
        <v>117</v>
      </c>
      <c r="C771">
        <v>451</v>
      </c>
      <c r="D771">
        <v>4</v>
      </c>
      <c r="E771" s="1">
        <v>45305</v>
      </c>
      <c r="F771">
        <v>20</v>
      </c>
      <c r="G771">
        <v>287.12</v>
      </c>
      <c r="H771" t="s">
        <v>9</v>
      </c>
      <c r="I771" cm="1">
        <f t="array" ref="I771">_xlfn.IFS(H771="Credit Card",1,H771="PayPal",2,H771="Cash",3,H771="Bank Transfer",4,TRUE,5)</f>
        <v>1</v>
      </c>
    </row>
    <row r="772" spans="1:9" x14ac:dyDescent="0.3">
      <c r="A772">
        <v>758</v>
      </c>
      <c r="B772">
        <v>796</v>
      </c>
      <c r="C772">
        <v>74</v>
      </c>
      <c r="D772">
        <v>5</v>
      </c>
      <c r="E772" s="1">
        <v>45356</v>
      </c>
      <c r="F772">
        <v>8</v>
      </c>
      <c r="G772">
        <v>734.86</v>
      </c>
      <c r="H772" t="s">
        <v>11</v>
      </c>
      <c r="I772" cm="1">
        <f t="array" ref="I772">_xlfn.IFS(H772="Credit Card",1,H772="PayPal",2,H772="Cash",3,H772="Bank Transfer",4,TRUE,5)</f>
        <v>2</v>
      </c>
    </row>
    <row r="773" spans="1:9" x14ac:dyDescent="0.3">
      <c r="A773">
        <v>759</v>
      </c>
      <c r="B773">
        <v>698</v>
      </c>
      <c r="C773">
        <v>130</v>
      </c>
      <c r="D773">
        <v>2</v>
      </c>
      <c r="E773" s="1">
        <v>45603</v>
      </c>
      <c r="F773">
        <v>13</v>
      </c>
      <c r="G773">
        <v>609.88</v>
      </c>
      <c r="H773" t="s">
        <v>9</v>
      </c>
      <c r="I773" cm="1">
        <f t="array" ref="I773">_xlfn.IFS(H773="Credit Card",1,H773="PayPal",2,H773="Cash",3,H773="Bank Transfer",4,TRUE,5)</f>
        <v>1</v>
      </c>
    </row>
    <row r="774" spans="1:9" x14ac:dyDescent="0.3">
      <c r="A774">
        <v>760</v>
      </c>
      <c r="B774">
        <v>582</v>
      </c>
      <c r="C774">
        <v>472</v>
      </c>
      <c r="D774">
        <v>4</v>
      </c>
      <c r="E774" s="1">
        <v>45625</v>
      </c>
      <c r="F774">
        <v>19</v>
      </c>
      <c r="G774">
        <v>317.02</v>
      </c>
      <c r="H774" t="s">
        <v>8</v>
      </c>
      <c r="I774" cm="1">
        <f t="array" ref="I774">_xlfn.IFS(H774="Credit Card",1,H774="PayPal",2,H774="Cash",3,H774="Bank Transfer",4,TRUE,5)</f>
        <v>4</v>
      </c>
    </row>
    <row r="775" spans="1:9" x14ac:dyDescent="0.3">
      <c r="A775">
        <v>761</v>
      </c>
      <c r="B775">
        <v>987</v>
      </c>
      <c r="C775">
        <v>569</v>
      </c>
      <c r="D775">
        <v>5</v>
      </c>
      <c r="E775" s="1">
        <v>45342</v>
      </c>
      <c r="F775">
        <v>1</v>
      </c>
      <c r="G775">
        <v>1127.44</v>
      </c>
      <c r="H775" t="s">
        <v>8</v>
      </c>
      <c r="I775" cm="1">
        <f t="array" ref="I775">_xlfn.IFS(H775="Credit Card",1,H775="PayPal",2,H775="Cash",3,H775="Bank Transfer",4,TRUE,5)</f>
        <v>4</v>
      </c>
    </row>
    <row r="776" spans="1:9" x14ac:dyDescent="0.3">
      <c r="A776">
        <v>762</v>
      </c>
      <c r="B776">
        <v>875</v>
      </c>
      <c r="C776">
        <v>418</v>
      </c>
      <c r="D776">
        <v>5</v>
      </c>
      <c r="E776" s="1">
        <v>45312</v>
      </c>
      <c r="F776">
        <v>3</v>
      </c>
      <c r="G776">
        <v>599.44000000000005</v>
      </c>
      <c r="H776" t="s">
        <v>11</v>
      </c>
      <c r="I776" cm="1">
        <f t="array" ref="I776">_xlfn.IFS(H776="Credit Card",1,H776="PayPal",2,H776="Cash",3,H776="Bank Transfer",4,TRUE,5)</f>
        <v>2</v>
      </c>
    </row>
    <row r="777" spans="1:9" x14ac:dyDescent="0.3">
      <c r="A777">
        <v>763</v>
      </c>
      <c r="B777">
        <v>175</v>
      </c>
      <c r="C777">
        <v>682</v>
      </c>
      <c r="D777">
        <v>3</v>
      </c>
      <c r="E777" s="1">
        <v>45631</v>
      </c>
      <c r="F777">
        <v>17</v>
      </c>
      <c r="G777">
        <v>509.32</v>
      </c>
      <c r="H777" t="s">
        <v>10</v>
      </c>
      <c r="I777" cm="1">
        <f t="array" ref="I777">_xlfn.IFS(H777="Credit Card",1,H777="PayPal",2,H777="Cash",3,H777="Bank Transfer",4,TRUE,5)</f>
        <v>3</v>
      </c>
    </row>
    <row r="778" spans="1:9" x14ac:dyDescent="0.3">
      <c r="A778">
        <v>764</v>
      </c>
      <c r="B778">
        <v>355</v>
      </c>
      <c r="C778">
        <v>777</v>
      </c>
      <c r="D778">
        <v>4</v>
      </c>
      <c r="E778" s="1">
        <v>45452</v>
      </c>
      <c r="F778">
        <v>2</v>
      </c>
      <c r="G778">
        <v>468.18</v>
      </c>
      <c r="H778" t="s">
        <v>8</v>
      </c>
      <c r="I778" cm="1">
        <f t="array" ref="I778">_xlfn.IFS(H778="Credit Card",1,H778="PayPal",2,H778="Cash",3,H778="Bank Transfer",4,TRUE,5)</f>
        <v>4</v>
      </c>
    </row>
    <row r="779" spans="1:9" x14ac:dyDescent="0.3">
      <c r="A779">
        <v>765</v>
      </c>
      <c r="B779">
        <v>252</v>
      </c>
      <c r="C779">
        <v>284</v>
      </c>
      <c r="D779">
        <v>5</v>
      </c>
      <c r="E779" s="1">
        <v>45440</v>
      </c>
      <c r="F779">
        <v>16</v>
      </c>
      <c r="G779">
        <v>451.02</v>
      </c>
      <c r="H779" t="s">
        <v>9</v>
      </c>
      <c r="I779" cm="1">
        <f t="array" ref="I779">_xlfn.IFS(H779="Credit Card",1,H779="PayPal",2,H779="Cash",3,H779="Bank Transfer",4,TRUE,5)</f>
        <v>1</v>
      </c>
    </row>
    <row r="780" spans="1:9" x14ac:dyDescent="0.3">
      <c r="A780">
        <v>766</v>
      </c>
      <c r="B780">
        <v>562</v>
      </c>
      <c r="C780">
        <v>324</v>
      </c>
      <c r="D780">
        <v>2</v>
      </c>
      <c r="E780" s="1">
        <v>45448</v>
      </c>
      <c r="F780">
        <v>6</v>
      </c>
      <c r="G780">
        <v>305.83999999999997</v>
      </c>
      <c r="H780" t="s">
        <v>10</v>
      </c>
      <c r="I780" cm="1">
        <f t="array" ref="I780">_xlfn.IFS(H780="Credit Card",1,H780="PayPal",2,H780="Cash",3,H780="Bank Transfer",4,TRUE,5)</f>
        <v>3</v>
      </c>
    </row>
    <row r="781" spans="1:9" x14ac:dyDescent="0.3">
      <c r="A781">
        <v>767</v>
      </c>
      <c r="B781">
        <v>891</v>
      </c>
      <c r="C781">
        <v>169</v>
      </c>
      <c r="D781">
        <v>1</v>
      </c>
      <c r="E781" s="1">
        <v>45295</v>
      </c>
      <c r="F781">
        <v>10</v>
      </c>
      <c r="G781">
        <v>95.94</v>
      </c>
      <c r="H781" t="s">
        <v>11</v>
      </c>
      <c r="I781" cm="1">
        <f t="array" ref="I781">_xlfn.IFS(H781="Credit Card",1,H781="PayPal",2,H781="Cash",3,H781="Bank Transfer",4,TRUE,5)</f>
        <v>2</v>
      </c>
    </row>
    <row r="782" spans="1:9" x14ac:dyDescent="0.3">
      <c r="A782">
        <v>768</v>
      </c>
      <c r="B782">
        <v>275</v>
      </c>
      <c r="C782">
        <v>913</v>
      </c>
      <c r="D782">
        <v>2</v>
      </c>
      <c r="E782" s="1">
        <v>45604</v>
      </c>
      <c r="F782">
        <v>1</v>
      </c>
      <c r="G782">
        <v>202.19</v>
      </c>
      <c r="H782" t="s">
        <v>11</v>
      </c>
      <c r="I782" cm="1">
        <f t="array" ref="I782">_xlfn.IFS(H782="Credit Card",1,H782="PayPal",2,H782="Cash",3,H782="Bank Transfer",4,TRUE,5)</f>
        <v>2</v>
      </c>
    </row>
    <row r="783" spans="1:9" x14ac:dyDescent="0.3">
      <c r="A783">
        <v>770</v>
      </c>
      <c r="B783">
        <v>211</v>
      </c>
      <c r="C783">
        <v>202</v>
      </c>
      <c r="D783">
        <v>5</v>
      </c>
      <c r="E783" s="1">
        <v>45569</v>
      </c>
      <c r="F783">
        <v>5</v>
      </c>
      <c r="G783">
        <v>401.6</v>
      </c>
      <c r="H783" t="s">
        <v>11</v>
      </c>
      <c r="I783" cm="1">
        <f t="array" ref="I783">_xlfn.IFS(H783="Credit Card",1,H783="PayPal",2,H783="Cash",3,H783="Bank Transfer",4,TRUE,5)</f>
        <v>2</v>
      </c>
    </row>
    <row r="784" spans="1:9" x14ac:dyDescent="0.3">
      <c r="A784">
        <v>771</v>
      </c>
      <c r="B784">
        <v>599</v>
      </c>
      <c r="C784">
        <v>227</v>
      </c>
      <c r="D784">
        <v>5</v>
      </c>
      <c r="E784" s="1">
        <v>45433</v>
      </c>
      <c r="F784">
        <v>7</v>
      </c>
      <c r="G784">
        <v>266.27</v>
      </c>
      <c r="H784" t="s">
        <v>10</v>
      </c>
      <c r="I784" cm="1">
        <f t="array" ref="I784">_xlfn.IFS(H784="Credit Card",1,H784="PayPal",2,H784="Cash",3,H784="Bank Transfer",4,TRUE,5)</f>
        <v>3</v>
      </c>
    </row>
    <row r="785" spans="1:9" x14ac:dyDescent="0.3">
      <c r="A785">
        <v>772</v>
      </c>
      <c r="B785">
        <v>903</v>
      </c>
      <c r="C785">
        <v>504</v>
      </c>
      <c r="D785">
        <v>4</v>
      </c>
      <c r="E785" s="1">
        <v>45514</v>
      </c>
      <c r="F785">
        <v>20</v>
      </c>
      <c r="G785">
        <v>827.87</v>
      </c>
      <c r="H785" t="s">
        <v>10</v>
      </c>
      <c r="I785" cm="1">
        <f t="array" ref="I785">_xlfn.IFS(H785="Credit Card",1,H785="PayPal",2,H785="Cash",3,H785="Bank Transfer",4,TRUE,5)</f>
        <v>3</v>
      </c>
    </row>
    <row r="786" spans="1:9" x14ac:dyDescent="0.3">
      <c r="A786">
        <v>773</v>
      </c>
      <c r="B786">
        <v>132</v>
      </c>
      <c r="C786">
        <v>818</v>
      </c>
      <c r="D786">
        <v>1</v>
      </c>
      <c r="E786" s="1">
        <v>45387</v>
      </c>
      <c r="F786">
        <v>13</v>
      </c>
      <c r="G786">
        <v>1301.48</v>
      </c>
      <c r="H786" t="s">
        <v>8</v>
      </c>
      <c r="I786" cm="1">
        <f t="array" ref="I786">_xlfn.IFS(H786="Credit Card",1,H786="PayPal",2,H786="Cash",3,H786="Bank Transfer",4,TRUE,5)</f>
        <v>4</v>
      </c>
    </row>
    <row r="787" spans="1:9" x14ac:dyDescent="0.3">
      <c r="A787">
        <v>774</v>
      </c>
      <c r="B787">
        <v>148</v>
      </c>
      <c r="C787">
        <v>110</v>
      </c>
      <c r="D787">
        <v>4</v>
      </c>
      <c r="E787" s="1">
        <v>45379</v>
      </c>
      <c r="F787">
        <v>14</v>
      </c>
      <c r="G787">
        <v>40.72</v>
      </c>
      <c r="H787" t="s">
        <v>9</v>
      </c>
      <c r="I787" cm="1">
        <f t="array" ref="I787">_xlfn.IFS(H787="Credit Card",1,H787="PayPal",2,H787="Cash",3,H787="Bank Transfer",4,TRUE,5)</f>
        <v>1</v>
      </c>
    </row>
    <row r="788" spans="1:9" x14ac:dyDescent="0.3">
      <c r="A788">
        <v>775</v>
      </c>
      <c r="B788">
        <v>834</v>
      </c>
      <c r="C788">
        <v>653</v>
      </c>
      <c r="D788">
        <v>4</v>
      </c>
      <c r="E788" s="1">
        <v>45310</v>
      </c>
      <c r="F788">
        <v>14</v>
      </c>
      <c r="G788">
        <v>1323.7</v>
      </c>
      <c r="H788" t="s">
        <v>11</v>
      </c>
      <c r="I788" cm="1">
        <f t="array" ref="I788">_xlfn.IFS(H788="Credit Card",1,H788="PayPal",2,H788="Cash",3,H788="Bank Transfer",4,TRUE,5)</f>
        <v>2</v>
      </c>
    </row>
    <row r="789" spans="1:9" x14ac:dyDescent="0.3">
      <c r="A789">
        <v>776</v>
      </c>
      <c r="B789">
        <v>217</v>
      </c>
      <c r="C789">
        <v>780</v>
      </c>
      <c r="D789">
        <v>1</v>
      </c>
      <c r="E789" s="1">
        <v>45401</v>
      </c>
      <c r="F789">
        <v>1</v>
      </c>
      <c r="G789">
        <v>1221.5899999999999</v>
      </c>
      <c r="H789" t="s">
        <v>10</v>
      </c>
      <c r="I789" cm="1">
        <f t="array" ref="I789">_xlfn.IFS(H789="Credit Card",1,H789="PayPal",2,H789="Cash",3,H789="Bank Transfer",4,TRUE,5)</f>
        <v>3</v>
      </c>
    </row>
    <row r="790" spans="1:9" x14ac:dyDescent="0.3">
      <c r="A790">
        <v>777</v>
      </c>
      <c r="B790">
        <v>523</v>
      </c>
      <c r="C790">
        <v>157</v>
      </c>
      <c r="D790">
        <v>5</v>
      </c>
      <c r="E790" s="1">
        <v>45612</v>
      </c>
      <c r="F790">
        <v>14</v>
      </c>
      <c r="G790">
        <v>335.92</v>
      </c>
      <c r="H790" t="s">
        <v>11</v>
      </c>
      <c r="I790" cm="1">
        <f t="array" ref="I790">_xlfn.IFS(H790="Credit Card",1,H790="PayPal",2,H790="Cash",3,H790="Bank Transfer",4,TRUE,5)</f>
        <v>2</v>
      </c>
    </row>
    <row r="791" spans="1:9" x14ac:dyDescent="0.3">
      <c r="A791">
        <v>778</v>
      </c>
      <c r="B791">
        <v>398</v>
      </c>
      <c r="C791">
        <v>731</v>
      </c>
      <c r="D791">
        <v>5</v>
      </c>
      <c r="E791" s="1">
        <v>45394</v>
      </c>
      <c r="F791">
        <v>2</v>
      </c>
      <c r="G791">
        <v>1310.6400000000001</v>
      </c>
      <c r="H791" t="s">
        <v>10</v>
      </c>
      <c r="I791" cm="1">
        <f t="array" ref="I791">_xlfn.IFS(H791="Credit Card",1,H791="PayPal",2,H791="Cash",3,H791="Bank Transfer",4,TRUE,5)</f>
        <v>3</v>
      </c>
    </row>
    <row r="792" spans="1:9" x14ac:dyDescent="0.3">
      <c r="A792">
        <v>779</v>
      </c>
      <c r="B792">
        <v>496</v>
      </c>
      <c r="C792">
        <v>790</v>
      </c>
      <c r="D792">
        <v>1</v>
      </c>
      <c r="E792" s="1">
        <v>45485</v>
      </c>
      <c r="F792">
        <v>20</v>
      </c>
      <c r="G792">
        <v>530.11</v>
      </c>
      <c r="H792" t="s">
        <v>8</v>
      </c>
      <c r="I792" cm="1">
        <f t="array" ref="I792">_xlfn.IFS(H792="Credit Card",1,H792="PayPal",2,H792="Cash",3,H792="Bank Transfer",4,TRUE,5)</f>
        <v>4</v>
      </c>
    </row>
    <row r="793" spans="1:9" x14ac:dyDescent="0.3">
      <c r="A793">
        <v>780</v>
      </c>
      <c r="B793">
        <v>954</v>
      </c>
      <c r="C793">
        <v>908</v>
      </c>
      <c r="D793">
        <v>4</v>
      </c>
      <c r="E793" s="1">
        <v>45351</v>
      </c>
      <c r="F793">
        <v>19</v>
      </c>
      <c r="G793">
        <v>1928.01</v>
      </c>
      <c r="H793" t="s">
        <v>10</v>
      </c>
      <c r="I793" cm="1">
        <f t="array" ref="I793">_xlfn.IFS(H793="Credit Card",1,H793="PayPal",2,H793="Cash",3,H793="Bank Transfer",4,TRUE,5)</f>
        <v>3</v>
      </c>
    </row>
    <row r="794" spans="1:9" x14ac:dyDescent="0.3">
      <c r="A794">
        <v>781</v>
      </c>
      <c r="B794">
        <v>529</v>
      </c>
      <c r="C794">
        <v>179</v>
      </c>
      <c r="D794">
        <v>1</v>
      </c>
      <c r="E794" s="1">
        <v>45401</v>
      </c>
      <c r="F794">
        <v>18</v>
      </c>
      <c r="G794">
        <v>1238.7</v>
      </c>
      <c r="H794" t="s">
        <v>11</v>
      </c>
      <c r="I794" cm="1">
        <f t="array" ref="I794">_xlfn.IFS(H794="Credit Card",1,H794="PayPal",2,H794="Cash",3,H794="Bank Transfer",4,TRUE,5)</f>
        <v>2</v>
      </c>
    </row>
    <row r="795" spans="1:9" x14ac:dyDescent="0.3">
      <c r="A795">
        <v>783</v>
      </c>
      <c r="B795">
        <v>427</v>
      </c>
      <c r="C795">
        <v>872</v>
      </c>
      <c r="D795">
        <v>4</v>
      </c>
      <c r="E795" s="1">
        <v>45473</v>
      </c>
      <c r="F795">
        <v>10</v>
      </c>
      <c r="G795">
        <v>431.54</v>
      </c>
      <c r="H795" t="s">
        <v>10</v>
      </c>
      <c r="I795" cm="1">
        <f t="array" ref="I795">_xlfn.IFS(H795="Credit Card",1,H795="PayPal",2,H795="Cash",3,H795="Bank Transfer",4,TRUE,5)</f>
        <v>3</v>
      </c>
    </row>
    <row r="796" spans="1:9" x14ac:dyDescent="0.3">
      <c r="A796">
        <v>784</v>
      </c>
      <c r="B796">
        <v>75</v>
      </c>
      <c r="C796">
        <v>441</v>
      </c>
      <c r="D796">
        <v>1</v>
      </c>
      <c r="E796" s="1">
        <v>45500</v>
      </c>
      <c r="F796">
        <v>5</v>
      </c>
      <c r="G796">
        <v>721.11</v>
      </c>
      <c r="H796" t="s">
        <v>11</v>
      </c>
      <c r="I796" cm="1">
        <f t="array" ref="I796">_xlfn.IFS(H796="Credit Card",1,H796="PayPal",2,H796="Cash",3,H796="Bank Transfer",4,TRUE,5)</f>
        <v>2</v>
      </c>
    </row>
    <row r="797" spans="1:9" x14ac:dyDescent="0.3">
      <c r="A797">
        <v>785</v>
      </c>
      <c r="B797">
        <v>216</v>
      </c>
      <c r="C797">
        <v>959</v>
      </c>
      <c r="D797">
        <v>2</v>
      </c>
      <c r="E797" s="1">
        <v>45555</v>
      </c>
      <c r="F797">
        <v>10</v>
      </c>
      <c r="G797">
        <v>1756.41</v>
      </c>
      <c r="H797" t="s">
        <v>11</v>
      </c>
      <c r="I797" cm="1">
        <f t="array" ref="I797">_xlfn.IFS(H797="Credit Card",1,H797="PayPal",2,H797="Cash",3,H797="Bank Transfer",4,TRUE,5)</f>
        <v>2</v>
      </c>
    </row>
    <row r="798" spans="1:9" x14ac:dyDescent="0.3">
      <c r="A798">
        <v>786</v>
      </c>
      <c r="B798">
        <v>521</v>
      </c>
      <c r="C798">
        <v>495</v>
      </c>
      <c r="D798">
        <v>3</v>
      </c>
      <c r="E798" s="1">
        <v>45574</v>
      </c>
      <c r="F798">
        <v>5</v>
      </c>
      <c r="G798">
        <v>450.45</v>
      </c>
      <c r="H798" t="s">
        <v>9</v>
      </c>
      <c r="I798" cm="1">
        <f t="array" ref="I798">_xlfn.IFS(H798="Credit Card",1,H798="PayPal",2,H798="Cash",3,H798="Bank Transfer",4,TRUE,5)</f>
        <v>1</v>
      </c>
    </row>
    <row r="799" spans="1:9" x14ac:dyDescent="0.3">
      <c r="A799">
        <v>787</v>
      </c>
      <c r="B799">
        <v>777</v>
      </c>
      <c r="C799">
        <v>901</v>
      </c>
      <c r="D799">
        <v>3</v>
      </c>
      <c r="E799" s="1">
        <v>45480</v>
      </c>
      <c r="F799">
        <v>11</v>
      </c>
      <c r="G799">
        <v>176.63</v>
      </c>
      <c r="H799" t="s">
        <v>10</v>
      </c>
      <c r="I799" cm="1">
        <f t="array" ref="I799">_xlfn.IFS(H799="Credit Card",1,H799="PayPal",2,H799="Cash",3,H799="Bank Transfer",4,TRUE,5)</f>
        <v>3</v>
      </c>
    </row>
    <row r="800" spans="1:9" x14ac:dyDescent="0.3">
      <c r="A800">
        <v>788</v>
      </c>
      <c r="B800">
        <v>304</v>
      </c>
      <c r="C800">
        <v>802</v>
      </c>
      <c r="D800">
        <v>3</v>
      </c>
      <c r="E800" s="1">
        <v>45592</v>
      </c>
      <c r="F800">
        <v>14</v>
      </c>
      <c r="G800">
        <v>703.67</v>
      </c>
      <c r="H800" t="s">
        <v>11</v>
      </c>
      <c r="I800" cm="1">
        <f t="array" ref="I800">_xlfn.IFS(H800="Credit Card",1,H800="PayPal",2,H800="Cash",3,H800="Bank Transfer",4,TRUE,5)</f>
        <v>2</v>
      </c>
    </row>
    <row r="801" spans="1:9" x14ac:dyDescent="0.3">
      <c r="A801">
        <v>789</v>
      </c>
      <c r="B801">
        <v>59</v>
      </c>
      <c r="C801">
        <v>50</v>
      </c>
      <c r="D801">
        <v>1</v>
      </c>
      <c r="E801" s="1">
        <v>45382</v>
      </c>
      <c r="F801">
        <v>15</v>
      </c>
      <c r="G801">
        <v>424.04</v>
      </c>
      <c r="H801" t="s">
        <v>11</v>
      </c>
      <c r="I801" cm="1">
        <f t="array" ref="I801">_xlfn.IFS(H801="Credit Card",1,H801="PayPal",2,H801="Cash",3,H801="Bank Transfer",4,TRUE,5)</f>
        <v>2</v>
      </c>
    </row>
    <row r="802" spans="1:9" x14ac:dyDescent="0.3">
      <c r="A802">
        <v>790</v>
      </c>
      <c r="B802">
        <v>14</v>
      </c>
      <c r="C802">
        <v>971</v>
      </c>
      <c r="D802">
        <v>5</v>
      </c>
      <c r="E802" s="1">
        <v>45299</v>
      </c>
      <c r="F802">
        <v>1</v>
      </c>
      <c r="G802">
        <v>581.53</v>
      </c>
      <c r="H802" t="s">
        <v>11</v>
      </c>
      <c r="I802" cm="1">
        <f t="array" ref="I802">_xlfn.IFS(H802="Credit Card",1,H802="PayPal",2,H802="Cash",3,H802="Bank Transfer",4,TRUE,5)</f>
        <v>2</v>
      </c>
    </row>
    <row r="803" spans="1:9" x14ac:dyDescent="0.3">
      <c r="A803">
        <v>791</v>
      </c>
      <c r="B803">
        <v>85</v>
      </c>
      <c r="C803">
        <v>871</v>
      </c>
      <c r="D803">
        <v>5</v>
      </c>
      <c r="E803" s="1">
        <v>45529</v>
      </c>
      <c r="F803">
        <v>16</v>
      </c>
      <c r="G803">
        <v>1821.81</v>
      </c>
      <c r="H803" t="s">
        <v>11</v>
      </c>
      <c r="I803" cm="1">
        <f t="array" ref="I803">_xlfn.IFS(H803="Credit Card",1,H803="PayPal",2,H803="Cash",3,H803="Bank Transfer",4,TRUE,5)</f>
        <v>2</v>
      </c>
    </row>
    <row r="804" spans="1:9" x14ac:dyDescent="0.3">
      <c r="A804">
        <v>792</v>
      </c>
      <c r="B804">
        <v>769</v>
      </c>
      <c r="C804">
        <v>347</v>
      </c>
      <c r="D804">
        <v>5</v>
      </c>
      <c r="E804" s="1">
        <v>45611</v>
      </c>
      <c r="F804">
        <v>11</v>
      </c>
      <c r="G804">
        <v>727.32</v>
      </c>
      <c r="H804" t="s">
        <v>8</v>
      </c>
      <c r="I804" cm="1">
        <f t="array" ref="I804">_xlfn.IFS(H804="Credit Card",1,H804="PayPal",2,H804="Cash",3,H804="Bank Transfer",4,TRUE,5)</f>
        <v>4</v>
      </c>
    </row>
    <row r="805" spans="1:9" x14ac:dyDescent="0.3">
      <c r="A805">
        <v>793</v>
      </c>
      <c r="B805">
        <v>486</v>
      </c>
      <c r="C805">
        <v>436</v>
      </c>
      <c r="D805">
        <v>3</v>
      </c>
      <c r="E805" s="1">
        <v>45517</v>
      </c>
      <c r="F805">
        <v>3</v>
      </c>
      <c r="G805">
        <v>413.53</v>
      </c>
      <c r="H805" t="s">
        <v>8</v>
      </c>
      <c r="I805" cm="1">
        <f t="array" ref="I805">_xlfn.IFS(H805="Credit Card",1,H805="PayPal",2,H805="Cash",3,H805="Bank Transfer",4,TRUE,5)</f>
        <v>4</v>
      </c>
    </row>
    <row r="806" spans="1:9" x14ac:dyDescent="0.3">
      <c r="A806">
        <v>794</v>
      </c>
      <c r="B806">
        <v>662</v>
      </c>
      <c r="C806">
        <v>571</v>
      </c>
      <c r="D806">
        <v>5</v>
      </c>
      <c r="E806" s="1">
        <v>45478</v>
      </c>
      <c r="F806">
        <v>19</v>
      </c>
      <c r="G806">
        <v>1445.23</v>
      </c>
      <c r="H806" t="s">
        <v>8</v>
      </c>
      <c r="I806" cm="1">
        <f t="array" ref="I806">_xlfn.IFS(H806="Credit Card",1,H806="PayPal",2,H806="Cash",3,H806="Bank Transfer",4,TRUE,5)</f>
        <v>4</v>
      </c>
    </row>
    <row r="807" spans="1:9" x14ac:dyDescent="0.3">
      <c r="A807">
        <v>795</v>
      </c>
      <c r="B807">
        <v>835</v>
      </c>
      <c r="C807">
        <v>89</v>
      </c>
      <c r="D807">
        <v>3</v>
      </c>
      <c r="E807" s="1">
        <v>45445</v>
      </c>
      <c r="F807">
        <v>15</v>
      </c>
      <c r="G807">
        <v>268.27</v>
      </c>
      <c r="H807" t="s">
        <v>8</v>
      </c>
      <c r="I807" cm="1">
        <f t="array" ref="I807">_xlfn.IFS(H807="Credit Card",1,H807="PayPal",2,H807="Cash",3,H807="Bank Transfer",4,TRUE,5)</f>
        <v>4</v>
      </c>
    </row>
    <row r="808" spans="1:9" x14ac:dyDescent="0.3">
      <c r="A808">
        <v>796</v>
      </c>
      <c r="B808">
        <v>565</v>
      </c>
      <c r="C808">
        <v>803</v>
      </c>
      <c r="D808">
        <v>3</v>
      </c>
      <c r="E808" s="1">
        <v>45430</v>
      </c>
      <c r="F808">
        <v>6</v>
      </c>
      <c r="G808">
        <v>108.2</v>
      </c>
      <c r="H808" t="s">
        <v>11</v>
      </c>
      <c r="I808" cm="1">
        <f t="array" ref="I808">_xlfn.IFS(H808="Credit Card",1,H808="PayPal",2,H808="Cash",3,H808="Bank Transfer",4,TRUE,5)</f>
        <v>2</v>
      </c>
    </row>
    <row r="809" spans="1:9" x14ac:dyDescent="0.3">
      <c r="A809">
        <v>798</v>
      </c>
      <c r="B809">
        <v>738</v>
      </c>
      <c r="C809">
        <v>391</v>
      </c>
      <c r="D809">
        <v>2</v>
      </c>
      <c r="E809" s="1">
        <v>45455</v>
      </c>
      <c r="F809">
        <v>13</v>
      </c>
      <c r="G809">
        <v>731.2</v>
      </c>
      <c r="H809" t="s">
        <v>8</v>
      </c>
      <c r="I809" cm="1">
        <f t="array" ref="I809">_xlfn.IFS(H809="Credit Card",1,H809="PayPal",2,H809="Cash",3,H809="Bank Transfer",4,TRUE,5)</f>
        <v>4</v>
      </c>
    </row>
    <row r="810" spans="1:9" x14ac:dyDescent="0.3">
      <c r="A810">
        <v>800</v>
      </c>
      <c r="B810">
        <v>778</v>
      </c>
      <c r="C810">
        <v>743</v>
      </c>
      <c r="D810">
        <v>3</v>
      </c>
      <c r="E810" s="1">
        <v>45356</v>
      </c>
      <c r="F810">
        <v>10</v>
      </c>
      <c r="G810">
        <v>1528.66</v>
      </c>
      <c r="H810" t="s">
        <v>8</v>
      </c>
      <c r="I810" cm="1">
        <f t="array" ref="I810">_xlfn.IFS(H810="Credit Card",1,H810="PayPal",2,H810="Cash",3,H810="Bank Transfer",4,TRUE,5)</f>
        <v>4</v>
      </c>
    </row>
    <row r="811" spans="1:9" x14ac:dyDescent="0.3">
      <c r="A811">
        <v>801</v>
      </c>
      <c r="B811">
        <v>246</v>
      </c>
      <c r="C811">
        <v>658</v>
      </c>
      <c r="D811">
        <v>2</v>
      </c>
      <c r="E811" s="1">
        <v>45513</v>
      </c>
      <c r="F811">
        <v>9</v>
      </c>
      <c r="G811">
        <v>710.07</v>
      </c>
      <c r="H811" t="s">
        <v>9</v>
      </c>
      <c r="I811" cm="1">
        <f t="array" ref="I811">_xlfn.IFS(H811="Credit Card",1,H811="PayPal",2,H811="Cash",3,H811="Bank Transfer",4,TRUE,5)</f>
        <v>1</v>
      </c>
    </row>
    <row r="812" spans="1:9" x14ac:dyDescent="0.3">
      <c r="A812">
        <v>802</v>
      </c>
      <c r="B812">
        <v>476</v>
      </c>
      <c r="C812">
        <v>91</v>
      </c>
      <c r="D812">
        <v>4</v>
      </c>
      <c r="E812" s="1">
        <v>45377</v>
      </c>
      <c r="F812">
        <v>5</v>
      </c>
      <c r="G812">
        <v>968.13</v>
      </c>
      <c r="H812" t="s">
        <v>11</v>
      </c>
      <c r="I812" cm="1">
        <f t="array" ref="I812">_xlfn.IFS(H812="Credit Card",1,H812="PayPal",2,H812="Cash",3,H812="Bank Transfer",4,TRUE,5)</f>
        <v>2</v>
      </c>
    </row>
    <row r="813" spans="1:9" x14ac:dyDescent="0.3">
      <c r="A813">
        <v>803</v>
      </c>
      <c r="B813">
        <v>681</v>
      </c>
      <c r="C813">
        <v>505</v>
      </c>
      <c r="D813">
        <v>4</v>
      </c>
      <c r="E813" s="1">
        <v>45320</v>
      </c>
      <c r="F813">
        <v>19</v>
      </c>
      <c r="G813">
        <v>1489.31</v>
      </c>
      <c r="H813" t="s">
        <v>8</v>
      </c>
      <c r="I813" cm="1">
        <f t="array" ref="I813">_xlfn.IFS(H813="Credit Card",1,H813="PayPal",2,H813="Cash",3,H813="Bank Transfer",4,TRUE,5)</f>
        <v>4</v>
      </c>
    </row>
    <row r="814" spans="1:9" x14ac:dyDescent="0.3">
      <c r="A814">
        <v>804</v>
      </c>
      <c r="B814">
        <v>847</v>
      </c>
      <c r="C814">
        <v>238</v>
      </c>
      <c r="D814">
        <v>2</v>
      </c>
      <c r="E814" s="1">
        <v>45503</v>
      </c>
      <c r="F814">
        <v>16</v>
      </c>
      <c r="G814">
        <v>1865.62</v>
      </c>
      <c r="H814" t="s">
        <v>9</v>
      </c>
      <c r="I814" cm="1">
        <f t="array" ref="I814">_xlfn.IFS(H814="Credit Card",1,H814="PayPal",2,H814="Cash",3,H814="Bank Transfer",4,TRUE,5)</f>
        <v>1</v>
      </c>
    </row>
    <row r="815" spans="1:9" x14ac:dyDescent="0.3">
      <c r="A815">
        <v>805</v>
      </c>
      <c r="B815">
        <v>68</v>
      </c>
      <c r="C815">
        <v>616</v>
      </c>
      <c r="D815">
        <v>1</v>
      </c>
      <c r="E815" s="1">
        <v>45299</v>
      </c>
      <c r="F815">
        <v>20</v>
      </c>
      <c r="G815">
        <v>207.78</v>
      </c>
      <c r="H815" t="s">
        <v>9</v>
      </c>
      <c r="I815" cm="1">
        <f t="array" ref="I815">_xlfn.IFS(H815="Credit Card",1,H815="PayPal",2,H815="Cash",3,H815="Bank Transfer",4,TRUE,5)</f>
        <v>1</v>
      </c>
    </row>
    <row r="816" spans="1:9" x14ac:dyDescent="0.3">
      <c r="A816">
        <v>806</v>
      </c>
      <c r="B816">
        <v>465</v>
      </c>
      <c r="C816">
        <v>997</v>
      </c>
      <c r="D816">
        <v>4</v>
      </c>
      <c r="E816" s="1">
        <v>45490</v>
      </c>
      <c r="F816">
        <v>19</v>
      </c>
      <c r="G816">
        <v>291.99</v>
      </c>
      <c r="H816" t="s">
        <v>9</v>
      </c>
      <c r="I816" cm="1">
        <f t="array" ref="I816">_xlfn.IFS(H816="Credit Card",1,H816="PayPal",2,H816="Cash",3,H816="Bank Transfer",4,TRUE,5)</f>
        <v>1</v>
      </c>
    </row>
    <row r="817" spans="1:9" x14ac:dyDescent="0.3">
      <c r="A817">
        <v>807</v>
      </c>
      <c r="B817">
        <v>218</v>
      </c>
      <c r="C817">
        <v>544</v>
      </c>
      <c r="D817">
        <v>4</v>
      </c>
      <c r="E817" s="1">
        <v>45359</v>
      </c>
      <c r="F817">
        <v>10</v>
      </c>
      <c r="G817">
        <v>1370.67</v>
      </c>
      <c r="H817" t="s">
        <v>10</v>
      </c>
      <c r="I817" cm="1">
        <f t="array" ref="I817">_xlfn.IFS(H817="Credit Card",1,H817="PayPal",2,H817="Cash",3,H817="Bank Transfer",4,TRUE,5)</f>
        <v>3</v>
      </c>
    </row>
    <row r="818" spans="1:9" x14ac:dyDescent="0.3">
      <c r="A818">
        <v>808</v>
      </c>
      <c r="B818">
        <v>986</v>
      </c>
      <c r="C818">
        <v>780</v>
      </c>
      <c r="D818">
        <v>4</v>
      </c>
      <c r="E818" s="1">
        <v>45341</v>
      </c>
      <c r="F818">
        <v>2</v>
      </c>
      <c r="G818">
        <v>1617.89</v>
      </c>
      <c r="H818" t="s">
        <v>11</v>
      </c>
      <c r="I818" cm="1">
        <f t="array" ref="I818">_xlfn.IFS(H818="Credit Card",1,H818="PayPal",2,H818="Cash",3,H818="Bank Transfer",4,TRUE,5)</f>
        <v>2</v>
      </c>
    </row>
    <row r="819" spans="1:9" x14ac:dyDescent="0.3">
      <c r="A819">
        <v>810</v>
      </c>
      <c r="B819">
        <v>542</v>
      </c>
      <c r="C819">
        <v>501</v>
      </c>
      <c r="D819">
        <v>1</v>
      </c>
      <c r="E819" s="1">
        <v>45411</v>
      </c>
      <c r="F819">
        <v>18</v>
      </c>
      <c r="G819">
        <v>515.36</v>
      </c>
      <c r="H819" t="s">
        <v>11</v>
      </c>
      <c r="I819" cm="1">
        <f t="array" ref="I819">_xlfn.IFS(H819="Credit Card",1,H819="PayPal",2,H819="Cash",3,H819="Bank Transfer",4,TRUE,5)</f>
        <v>2</v>
      </c>
    </row>
    <row r="820" spans="1:9" x14ac:dyDescent="0.3">
      <c r="A820">
        <v>811</v>
      </c>
      <c r="B820">
        <v>134</v>
      </c>
      <c r="C820">
        <v>456</v>
      </c>
      <c r="D820">
        <v>4</v>
      </c>
      <c r="E820" s="1">
        <v>45552</v>
      </c>
      <c r="F820">
        <v>15</v>
      </c>
      <c r="G820">
        <v>1209.3499999999999</v>
      </c>
      <c r="H820" t="s">
        <v>8</v>
      </c>
      <c r="I820" cm="1">
        <f t="array" ref="I820">_xlfn.IFS(H820="Credit Card",1,H820="PayPal",2,H820="Cash",3,H820="Bank Transfer",4,TRUE,5)</f>
        <v>4</v>
      </c>
    </row>
    <row r="821" spans="1:9" x14ac:dyDescent="0.3">
      <c r="A821">
        <v>812</v>
      </c>
      <c r="B821">
        <v>366</v>
      </c>
      <c r="C821">
        <v>828</v>
      </c>
      <c r="D821">
        <v>2</v>
      </c>
      <c r="E821" s="1">
        <v>45306</v>
      </c>
      <c r="F821">
        <v>13</v>
      </c>
      <c r="G821">
        <v>696.2</v>
      </c>
      <c r="H821" t="s">
        <v>10</v>
      </c>
      <c r="I821" cm="1">
        <f t="array" ref="I821">_xlfn.IFS(H821="Credit Card",1,H821="PayPal",2,H821="Cash",3,H821="Bank Transfer",4,TRUE,5)</f>
        <v>3</v>
      </c>
    </row>
    <row r="822" spans="1:9" x14ac:dyDescent="0.3">
      <c r="A822">
        <v>813</v>
      </c>
      <c r="B822">
        <v>289</v>
      </c>
      <c r="C822">
        <v>198</v>
      </c>
      <c r="D822">
        <v>1</v>
      </c>
      <c r="E822" s="1">
        <v>45324</v>
      </c>
      <c r="F822">
        <v>3</v>
      </c>
      <c r="G822">
        <v>112.04</v>
      </c>
      <c r="H822" t="s">
        <v>8</v>
      </c>
      <c r="I822" cm="1">
        <f t="array" ref="I822">_xlfn.IFS(H822="Credit Card",1,H822="PayPal",2,H822="Cash",3,H822="Bank Transfer",4,TRUE,5)</f>
        <v>4</v>
      </c>
    </row>
    <row r="823" spans="1:9" x14ac:dyDescent="0.3">
      <c r="A823">
        <v>814</v>
      </c>
      <c r="B823">
        <v>674</v>
      </c>
      <c r="C823">
        <v>866</v>
      </c>
      <c r="D823">
        <v>4</v>
      </c>
      <c r="E823" s="1">
        <v>45326</v>
      </c>
      <c r="F823">
        <v>4</v>
      </c>
      <c r="G823">
        <v>26.11</v>
      </c>
      <c r="H823" t="s">
        <v>9</v>
      </c>
      <c r="I823" cm="1">
        <f t="array" ref="I823">_xlfn.IFS(H823="Credit Card",1,H823="PayPal",2,H823="Cash",3,H823="Bank Transfer",4,TRUE,5)</f>
        <v>1</v>
      </c>
    </row>
    <row r="824" spans="1:9" x14ac:dyDescent="0.3">
      <c r="A824">
        <v>815</v>
      </c>
      <c r="B824">
        <v>403</v>
      </c>
      <c r="C824">
        <v>99</v>
      </c>
      <c r="D824">
        <v>5</v>
      </c>
      <c r="E824" s="1">
        <v>45603</v>
      </c>
      <c r="F824">
        <v>18</v>
      </c>
      <c r="G824">
        <v>246.6</v>
      </c>
      <c r="H824" t="s">
        <v>10</v>
      </c>
      <c r="I824" cm="1">
        <f t="array" ref="I824">_xlfn.IFS(H824="Credit Card",1,H824="PayPal",2,H824="Cash",3,H824="Bank Transfer",4,TRUE,5)</f>
        <v>3</v>
      </c>
    </row>
    <row r="825" spans="1:9" x14ac:dyDescent="0.3">
      <c r="A825">
        <v>816</v>
      </c>
      <c r="B825">
        <v>650</v>
      </c>
      <c r="C825">
        <v>890</v>
      </c>
      <c r="D825">
        <v>4</v>
      </c>
      <c r="E825" s="1">
        <v>45541</v>
      </c>
      <c r="F825">
        <v>9</v>
      </c>
      <c r="G825">
        <v>1878.28</v>
      </c>
      <c r="H825" t="s">
        <v>11</v>
      </c>
      <c r="I825" cm="1">
        <f t="array" ref="I825">_xlfn.IFS(H825="Credit Card",1,H825="PayPal",2,H825="Cash",3,H825="Bank Transfer",4,TRUE,5)</f>
        <v>2</v>
      </c>
    </row>
    <row r="826" spans="1:9" x14ac:dyDescent="0.3">
      <c r="A826">
        <v>817</v>
      </c>
      <c r="B826">
        <v>895</v>
      </c>
      <c r="C826">
        <v>138</v>
      </c>
      <c r="D826">
        <v>4</v>
      </c>
      <c r="E826" s="1">
        <v>45392</v>
      </c>
      <c r="F826">
        <v>16</v>
      </c>
      <c r="G826">
        <v>1702.75</v>
      </c>
      <c r="H826" t="s">
        <v>10</v>
      </c>
      <c r="I826" cm="1">
        <f t="array" ref="I826">_xlfn.IFS(H826="Credit Card",1,H826="PayPal",2,H826="Cash",3,H826="Bank Transfer",4,TRUE,5)</f>
        <v>3</v>
      </c>
    </row>
    <row r="827" spans="1:9" x14ac:dyDescent="0.3">
      <c r="A827">
        <v>818</v>
      </c>
      <c r="B827">
        <v>209</v>
      </c>
      <c r="C827">
        <v>483</v>
      </c>
      <c r="D827">
        <v>1</v>
      </c>
      <c r="E827" s="1">
        <v>45476</v>
      </c>
      <c r="F827">
        <v>11</v>
      </c>
      <c r="G827">
        <v>1866.93</v>
      </c>
      <c r="H827" t="s">
        <v>10</v>
      </c>
      <c r="I827" cm="1">
        <f t="array" ref="I827">_xlfn.IFS(H827="Credit Card",1,H827="PayPal",2,H827="Cash",3,H827="Bank Transfer",4,TRUE,5)</f>
        <v>3</v>
      </c>
    </row>
    <row r="828" spans="1:9" x14ac:dyDescent="0.3">
      <c r="A828">
        <v>819</v>
      </c>
      <c r="B828">
        <v>973</v>
      </c>
      <c r="C828">
        <v>981</v>
      </c>
      <c r="D828">
        <v>5</v>
      </c>
      <c r="E828" s="1">
        <v>45297</v>
      </c>
      <c r="F828">
        <v>10</v>
      </c>
      <c r="G828">
        <v>845.48</v>
      </c>
      <c r="H828" t="s">
        <v>10</v>
      </c>
      <c r="I828" cm="1">
        <f t="array" ref="I828">_xlfn.IFS(H828="Credit Card",1,H828="PayPal",2,H828="Cash",3,H828="Bank Transfer",4,TRUE,5)</f>
        <v>3</v>
      </c>
    </row>
    <row r="829" spans="1:9" x14ac:dyDescent="0.3">
      <c r="A829">
        <v>820</v>
      </c>
      <c r="B829">
        <v>693</v>
      </c>
      <c r="C829">
        <v>230</v>
      </c>
      <c r="D829">
        <v>3</v>
      </c>
      <c r="E829" s="1">
        <v>45303</v>
      </c>
      <c r="F829">
        <v>10</v>
      </c>
      <c r="G829">
        <v>647.65</v>
      </c>
      <c r="H829" t="s">
        <v>10</v>
      </c>
      <c r="I829" cm="1">
        <f t="array" ref="I829">_xlfn.IFS(H829="Credit Card",1,H829="PayPal",2,H829="Cash",3,H829="Bank Transfer",4,TRUE,5)</f>
        <v>3</v>
      </c>
    </row>
    <row r="830" spans="1:9" x14ac:dyDescent="0.3">
      <c r="A830">
        <v>821</v>
      </c>
      <c r="B830">
        <v>230</v>
      </c>
      <c r="C830">
        <v>162</v>
      </c>
      <c r="D830">
        <v>5</v>
      </c>
      <c r="E830" s="1">
        <v>45582</v>
      </c>
      <c r="F830">
        <v>17</v>
      </c>
      <c r="G830">
        <v>1532.1</v>
      </c>
      <c r="H830" t="s">
        <v>9</v>
      </c>
      <c r="I830" cm="1">
        <f t="array" ref="I830">_xlfn.IFS(H830="Credit Card",1,H830="PayPal",2,H830="Cash",3,H830="Bank Transfer",4,TRUE,5)</f>
        <v>1</v>
      </c>
    </row>
    <row r="831" spans="1:9" x14ac:dyDescent="0.3">
      <c r="A831">
        <v>822</v>
      </c>
      <c r="B831">
        <v>152</v>
      </c>
      <c r="C831">
        <v>154</v>
      </c>
      <c r="D831">
        <v>5</v>
      </c>
      <c r="E831" s="1">
        <v>45304</v>
      </c>
      <c r="F831">
        <v>5</v>
      </c>
      <c r="G831">
        <v>230.25</v>
      </c>
      <c r="H831" t="s">
        <v>10</v>
      </c>
      <c r="I831" cm="1">
        <f t="array" ref="I831">_xlfn.IFS(H831="Credit Card",1,H831="PayPal",2,H831="Cash",3,H831="Bank Transfer",4,TRUE,5)</f>
        <v>3</v>
      </c>
    </row>
    <row r="832" spans="1:9" x14ac:dyDescent="0.3">
      <c r="A832">
        <v>823</v>
      </c>
      <c r="B832">
        <v>821</v>
      </c>
      <c r="C832">
        <v>526</v>
      </c>
      <c r="D832">
        <v>3</v>
      </c>
      <c r="E832" s="1">
        <v>45605</v>
      </c>
      <c r="F832">
        <v>20</v>
      </c>
      <c r="G832">
        <v>666.66</v>
      </c>
      <c r="H832" t="s">
        <v>11</v>
      </c>
      <c r="I832" cm="1">
        <f t="array" ref="I832">_xlfn.IFS(H832="Credit Card",1,H832="PayPal",2,H832="Cash",3,H832="Bank Transfer",4,TRUE,5)</f>
        <v>2</v>
      </c>
    </row>
    <row r="833" spans="1:9" x14ac:dyDescent="0.3">
      <c r="A833">
        <v>824</v>
      </c>
      <c r="B833">
        <v>93</v>
      </c>
      <c r="C833">
        <v>533</v>
      </c>
      <c r="D833">
        <v>1</v>
      </c>
      <c r="E833" s="1">
        <v>45431</v>
      </c>
      <c r="F833">
        <v>11</v>
      </c>
      <c r="G833">
        <v>1011.05</v>
      </c>
      <c r="H833" t="s">
        <v>10</v>
      </c>
      <c r="I833" cm="1">
        <f t="array" ref="I833">_xlfn.IFS(H833="Credit Card",1,H833="PayPal",2,H833="Cash",3,H833="Bank Transfer",4,TRUE,5)</f>
        <v>3</v>
      </c>
    </row>
    <row r="834" spans="1:9" x14ac:dyDescent="0.3">
      <c r="A834">
        <v>825</v>
      </c>
      <c r="B834">
        <v>990</v>
      </c>
      <c r="C834">
        <v>89</v>
      </c>
      <c r="D834">
        <v>2</v>
      </c>
      <c r="E834" s="1">
        <v>45566</v>
      </c>
      <c r="F834">
        <v>11</v>
      </c>
      <c r="G834">
        <v>998.5</v>
      </c>
      <c r="H834" t="s">
        <v>10</v>
      </c>
      <c r="I834" cm="1">
        <f t="array" ref="I834">_xlfn.IFS(H834="Credit Card",1,H834="PayPal",2,H834="Cash",3,H834="Bank Transfer",4,TRUE,5)</f>
        <v>3</v>
      </c>
    </row>
    <row r="835" spans="1:9" x14ac:dyDescent="0.3">
      <c r="A835">
        <v>826</v>
      </c>
      <c r="B835">
        <v>398</v>
      </c>
      <c r="C835">
        <v>16</v>
      </c>
      <c r="D835">
        <v>4</v>
      </c>
      <c r="E835" s="1">
        <v>45459</v>
      </c>
      <c r="F835">
        <v>10</v>
      </c>
      <c r="G835">
        <v>1740.33</v>
      </c>
      <c r="H835" t="s">
        <v>8</v>
      </c>
      <c r="I835" cm="1">
        <f t="array" ref="I835">_xlfn.IFS(H835="Credit Card",1,H835="PayPal",2,H835="Cash",3,H835="Bank Transfer",4,TRUE,5)</f>
        <v>4</v>
      </c>
    </row>
    <row r="836" spans="1:9" x14ac:dyDescent="0.3">
      <c r="A836">
        <v>827</v>
      </c>
      <c r="B836">
        <v>621</v>
      </c>
      <c r="C836">
        <v>890</v>
      </c>
      <c r="D836">
        <v>2</v>
      </c>
      <c r="E836" s="1">
        <v>45355</v>
      </c>
      <c r="F836">
        <v>11</v>
      </c>
      <c r="G836">
        <v>1422.69</v>
      </c>
      <c r="H836" t="s">
        <v>9</v>
      </c>
      <c r="I836" cm="1">
        <f t="array" ref="I836">_xlfn.IFS(H836="Credit Card",1,H836="PayPal",2,H836="Cash",3,H836="Bank Transfer",4,TRUE,5)</f>
        <v>1</v>
      </c>
    </row>
    <row r="837" spans="1:9" x14ac:dyDescent="0.3">
      <c r="A837">
        <v>828</v>
      </c>
      <c r="B837">
        <v>673</v>
      </c>
      <c r="C837">
        <v>159</v>
      </c>
      <c r="D837">
        <v>1</v>
      </c>
      <c r="E837" s="1">
        <v>45451</v>
      </c>
      <c r="F837">
        <v>12</v>
      </c>
      <c r="G837">
        <v>1428.7</v>
      </c>
      <c r="H837" t="s">
        <v>9</v>
      </c>
      <c r="I837" cm="1">
        <f t="array" ref="I837">_xlfn.IFS(H837="Credit Card",1,H837="PayPal",2,H837="Cash",3,H837="Bank Transfer",4,TRUE,5)</f>
        <v>1</v>
      </c>
    </row>
    <row r="838" spans="1:9" x14ac:dyDescent="0.3">
      <c r="A838">
        <v>830</v>
      </c>
      <c r="B838">
        <v>195</v>
      </c>
      <c r="C838">
        <v>646</v>
      </c>
      <c r="D838">
        <v>2</v>
      </c>
      <c r="E838" s="1">
        <v>45507</v>
      </c>
      <c r="F838">
        <v>9</v>
      </c>
      <c r="G838">
        <v>1507.66</v>
      </c>
      <c r="H838" t="s">
        <v>11</v>
      </c>
      <c r="I838" cm="1">
        <f t="array" ref="I838">_xlfn.IFS(H838="Credit Card",1,H838="PayPal",2,H838="Cash",3,H838="Bank Transfer",4,TRUE,5)</f>
        <v>2</v>
      </c>
    </row>
    <row r="839" spans="1:9" x14ac:dyDescent="0.3">
      <c r="A839">
        <v>831</v>
      </c>
      <c r="B839">
        <v>775</v>
      </c>
      <c r="C839">
        <v>999</v>
      </c>
      <c r="D839">
        <v>4</v>
      </c>
      <c r="E839" s="1">
        <v>45521</v>
      </c>
      <c r="F839">
        <v>2</v>
      </c>
      <c r="G839">
        <v>1081.71</v>
      </c>
      <c r="H839" t="s">
        <v>10</v>
      </c>
      <c r="I839" cm="1">
        <f t="array" ref="I839">_xlfn.IFS(H839="Credit Card",1,H839="PayPal",2,H839="Cash",3,H839="Bank Transfer",4,TRUE,5)</f>
        <v>3</v>
      </c>
    </row>
    <row r="840" spans="1:9" x14ac:dyDescent="0.3">
      <c r="A840">
        <v>832</v>
      </c>
      <c r="B840">
        <v>926</v>
      </c>
      <c r="C840">
        <v>62</v>
      </c>
      <c r="D840">
        <v>4</v>
      </c>
      <c r="E840" s="1">
        <v>45507</v>
      </c>
      <c r="F840">
        <v>20</v>
      </c>
      <c r="G840">
        <v>1617.2</v>
      </c>
      <c r="H840" t="s">
        <v>10</v>
      </c>
      <c r="I840" cm="1">
        <f t="array" ref="I840">_xlfn.IFS(H840="Credit Card",1,H840="PayPal",2,H840="Cash",3,H840="Bank Transfer",4,TRUE,5)</f>
        <v>3</v>
      </c>
    </row>
    <row r="841" spans="1:9" x14ac:dyDescent="0.3">
      <c r="A841">
        <v>833</v>
      </c>
      <c r="B841">
        <v>264</v>
      </c>
      <c r="C841">
        <v>154</v>
      </c>
      <c r="D841">
        <v>5</v>
      </c>
      <c r="E841" s="1">
        <v>45467</v>
      </c>
      <c r="F841">
        <v>7</v>
      </c>
      <c r="G841">
        <v>1365.82</v>
      </c>
      <c r="H841" t="s">
        <v>9</v>
      </c>
      <c r="I841" cm="1">
        <f t="array" ref="I841">_xlfn.IFS(H841="Credit Card",1,H841="PayPal",2,H841="Cash",3,H841="Bank Transfer",4,TRUE,5)</f>
        <v>1</v>
      </c>
    </row>
    <row r="842" spans="1:9" x14ac:dyDescent="0.3">
      <c r="A842">
        <v>834</v>
      </c>
      <c r="B842">
        <v>789</v>
      </c>
      <c r="C842">
        <v>331</v>
      </c>
      <c r="D842">
        <v>5</v>
      </c>
      <c r="E842" s="1">
        <v>45495</v>
      </c>
      <c r="F842">
        <v>15</v>
      </c>
      <c r="G842">
        <v>34.81</v>
      </c>
      <c r="H842" t="s">
        <v>10</v>
      </c>
      <c r="I842" cm="1">
        <f t="array" ref="I842">_xlfn.IFS(H842="Credit Card",1,H842="PayPal",2,H842="Cash",3,H842="Bank Transfer",4,TRUE,5)</f>
        <v>3</v>
      </c>
    </row>
    <row r="843" spans="1:9" x14ac:dyDescent="0.3">
      <c r="A843">
        <v>835</v>
      </c>
      <c r="B843">
        <v>724</v>
      </c>
      <c r="C843">
        <v>396</v>
      </c>
      <c r="D843">
        <v>2</v>
      </c>
      <c r="E843" s="1">
        <v>45601</v>
      </c>
      <c r="F843">
        <v>10</v>
      </c>
      <c r="G843">
        <v>1709.17</v>
      </c>
      <c r="H843" t="s">
        <v>9</v>
      </c>
      <c r="I843" cm="1">
        <f t="array" ref="I843">_xlfn.IFS(H843="Credit Card",1,H843="PayPal",2,H843="Cash",3,H843="Bank Transfer",4,TRUE,5)</f>
        <v>1</v>
      </c>
    </row>
    <row r="844" spans="1:9" x14ac:dyDescent="0.3">
      <c r="A844">
        <v>836</v>
      </c>
      <c r="B844">
        <v>501</v>
      </c>
      <c r="C844">
        <v>663</v>
      </c>
      <c r="D844">
        <v>1</v>
      </c>
      <c r="E844" s="1">
        <v>45458</v>
      </c>
      <c r="F844">
        <v>3</v>
      </c>
      <c r="G844">
        <v>1762.32</v>
      </c>
      <c r="H844" t="s">
        <v>11</v>
      </c>
      <c r="I844" cm="1">
        <f t="array" ref="I844">_xlfn.IFS(H844="Credit Card",1,H844="PayPal",2,H844="Cash",3,H844="Bank Transfer",4,TRUE,5)</f>
        <v>2</v>
      </c>
    </row>
    <row r="845" spans="1:9" x14ac:dyDescent="0.3">
      <c r="A845">
        <v>837</v>
      </c>
      <c r="B845">
        <v>811</v>
      </c>
      <c r="C845">
        <v>497</v>
      </c>
      <c r="D845">
        <v>5</v>
      </c>
      <c r="E845" s="1">
        <v>45438</v>
      </c>
      <c r="F845">
        <v>6</v>
      </c>
      <c r="G845">
        <v>10.31</v>
      </c>
      <c r="H845" t="s">
        <v>10</v>
      </c>
      <c r="I845" cm="1">
        <f t="array" ref="I845">_xlfn.IFS(H845="Credit Card",1,H845="PayPal",2,H845="Cash",3,H845="Bank Transfer",4,TRUE,5)</f>
        <v>3</v>
      </c>
    </row>
    <row r="846" spans="1:9" x14ac:dyDescent="0.3">
      <c r="A846">
        <v>838</v>
      </c>
      <c r="B846">
        <v>632</v>
      </c>
      <c r="C846">
        <v>486</v>
      </c>
      <c r="D846">
        <v>3</v>
      </c>
      <c r="E846" s="1">
        <v>45424</v>
      </c>
      <c r="F846">
        <v>10</v>
      </c>
      <c r="G846">
        <v>261.33</v>
      </c>
      <c r="H846" t="s">
        <v>11</v>
      </c>
      <c r="I846" cm="1">
        <f t="array" ref="I846">_xlfn.IFS(H846="Credit Card",1,H846="PayPal",2,H846="Cash",3,H846="Bank Transfer",4,TRUE,5)</f>
        <v>2</v>
      </c>
    </row>
    <row r="847" spans="1:9" x14ac:dyDescent="0.3">
      <c r="A847">
        <v>839</v>
      </c>
      <c r="B847">
        <v>118</v>
      </c>
      <c r="C847">
        <v>981</v>
      </c>
      <c r="D847">
        <v>3</v>
      </c>
      <c r="E847" s="1">
        <v>45292</v>
      </c>
      <c r="F847">
        <v>13</v>
      </c>
      <c r="G847">
        <v>226.26</v>
      </c>
      <c r="H847" t="s">
        <v>11</v>
      </c>
      <c r="I847" cm="1">
        <f t="array" ref="I847">_xlfn.IFS(H847="Credit Card",1,H847="PayPal",2,H847="Cash",3,H847="Bank Transfer",4,TRUE,5)</f>
        <v>2</v>
      </c>
    </row>
    <row r="848" spans="1:9" x14ac:dyDescent="0.3">
      <c r="A848">
        <v>840</v>
      </c>
      <c r="B848">
        <v>533</v>
      </c>
      <c r="C848">
        <v>128</v>
      </c>
      <c r="D848">
        <v>4</v>
      </c>
      <c r="E848" s="1">
        <v>45353</v>
      </c>
      <c r="F848">
        <v>19</v>
      </c>
      <c r="G848">
        <v>224.45</v>
      </c>
      <c r="H848" t="s">
        <v>10</v>
      </c>
      <c r="I848" cm="1">
        <f t="array" ref="I848">_xlfn.IFS(H848="Credit Card",1,H848="PayPal",2,H848="Cash",3,H848="Bank Transfer",4,TRUE,5)</f>
        <v>3</v>
      </c>
    </row>
    <row r="849" spans="1:9" x14ac:dyDescent="0.3">
      <c r="A849">
        <v>841</v>
      </c>
      <c r="B849">
        <v>888</v>
      </c>
      <c r="C849">
        <v>568</v>
      </c>
      <c r="D849">
        <v>3</v>
      </c>
      <c r="E849" s="1">
        <v>45481</v>
      </c>
      <c r="F849">
        <v>17</v>
      </c>
      <c r="G849">
        <v>394.22</v>
      </c>
      <c r="H849" t="s">
        <v>10</v>
      </c>
      <c r="I849" cm="1">
        <f t="array" ref="I849">_xlfn.IFS(H849="Credit Card",1,H849="PayPal",2,H849="Cash",3,H849="Bank Transfer",4,TRUE,5)</f>
        <v>3</v>
      </c>
    </row>
    <row r="850" spans="1:9" x14ac:dyDescent="0.3">
      <c r="A850">
        <v>843</v>
      </c>
      <c r="B850">
        <v>768</v>
      </c>
      <c r="C850">
        <v>572</v>
      </c>
      <c r="D850">
        <v>5</v>
      </c>
      <c r="E850" s="1">
        <v>45359</v>
      </c>
      <c r="F850">
        <v>7</v>
      </c>
      <c r="G850">
        <v>1398.2</v>
      </c>
      <c r="H850" t="s">
        <v>10</v>
      </c>
      <c r="I850" cm="1">
        <f t="array" ref="I850">_xlfn.IFS(H850="Credit Card",1,H850="PayPal",2,H850="Cash",3,H850="Bank Transfer",4,TRUE,5)</f>
        <v>3</v>
      </c>
    </row>
    <row r="851" spans="1:9" x14ac:dyDescent="0.3">
      <c r="A851">
        <v>844</v>
      </c>
      <c r="B851">
        <v>892</v>
      </c>
      <c r="C851">
        <v>91</v>
      </c>
      <c r="D851">
        <v>2</v>
      </c>
      <c r="E851" s="1">
        <v>45604</v>
      </c>
      <c r="F851">
        <v>12</v>
      </c>
      <c r="G851">
        <v>226.55</v>
      </c>
      <c r="H851" t="s">
        <v>9</v>
      </c>
      <c r="I851" cm="1">
        <f t="array" ref="I851">_xlfn.IFS(H851="Credit Card",1,H851="PayPal",2,H851="Cash",3,H851="Bank Transfer",4,TRUE,5)</f>
        <v>1</v>
      </c>
    </row>
    <row r="852" spans="1:9" x14ac:dyDescent="0.3">
      <c r="A852">
        <v>845</v>
      </c>
      <c r="B852">
        <v>511</v>
      </c>
      <c r="C852">
        <v>801</v>
      </c>
      <c r="D852">
        <v>5</v>
      </c>
      <c r="E852" s="1">
        <v>45599</v>
      </c>
      <c r="F852">
        <v>20</v>
      </c>
      <c r="G852">
        <v>1614.93</v>
      </c>
      <c r="H852" t="s">
        <v>11</v>
      </c>
      <c r="I852" cm="1">
        <f t="array" ref="I852">_xlfn.IFS(H852="Credit Card",1,H852="PayPal",2,H852="Cash",3,H852="Bank Transfer",4,TRUE,5)</f>
        <v>2</v>
      </c>
    </row>
    <row r="853" spans="1:9" x14ac:dyDescent="0.3">
      <c r="A853">
        <v>846</v>
      </c>
      <c r="B853">
        <v>873</v>
      </c>
      <c r="C853">
        <v>856</v>
      </c>
      <c r="D853">
        <v>1</v>
      </c>
      <c r="E853" s="1">
        <v>45581</v>
      </c>
      <c r="F853">
        <v>11</v>
      </c>
      <c r="G853">
        <v>893.93</v>
      </c>
      <c r="H853" t="s">
        <v>10</v>
      </c>
      <c r="I853" cm="1">
        <f t="array" ref="I853">_xlfn.IFS(H853="Credit Card",1,H853="PayPal",2,H853="Cash",3,H853="Bank Transfer",4,TRUE,5)</f>
        <v>3</v>
      </c>
    </row>
    <row r="854" spans="1:9" x14ac:dyDescent="0.3">
      <c r="A854">
        <v>847</v>
      </c>
      <c r="B854">
        <v>110</v>
      </c>
      <c r="C854">
        <v>303</v>
      </c>
      <c r="D854">
        <v>2</v>
      </c>
      <c r="E854" s="1">
        <v>45467</v>
      </c>
      <c r="F854">
        <v>15</v>
      </c>
      <c r="G854">
        <v>743.57</v>
      </c>
      <c r="H854" t="s">
        <v>9</v>
      </c>
      <c r="I854" cm="1">
        <f t="array" ref="I854">_xlfn.IFS(H854="Credit Card",1,H854="PayPal",2,H854="Cash",3,H854="Bank Transfer",4,TRUE,5)</f>
        <v>1</v>
      </c>
    </row>
    <row r="855" spans="1:9" x14ac:dyDescent="0.3">
      <c r="A855">
        <v>848</v>
      </c>
      <c r="B855">
        <v>239</v>
      </c>
      <c r="C855">
        <v>7</v>
      </c>
      <c r="D855">
        <v>3</v>
      </c>
      <c r="E855" s="1">
        <v>45527</v>
      </c>
      <c r="F855">
        <v>5</v>
      </c>
      <c r="G855">
        <v>1286.6099999999999</v>
      </c>
      <c r="H855" t="s">
        <v>9</v>
      </c>
      <c r="I855" cm="1">
        <f t="array" ref="I855">_xlfn.IFS(H855="Credit Card",1,H855="PayPal",2,H855="Cash",3,H855="Bank Transfer",4,TRUE,5)</f>
        <v>1</v>
      </c>
    </row>
    <row r="856" spans="1:9" x14ac:dyDescent="0.3">
      <c r="A856">
        <v>849</v>
      </c>
      <c r="B856">
        <v>17</v>
      </c>
      <c r="C856">
        <v>919</v>
      </c>
      <c r="D856">
        <v>1</v>
      </c>
      <c r="E856" s="1">
        <v>45491</v>
      </c>
      <c r="F856">
        <v>19</v>
      </c>
      <c r="G856">
        <v>1849.37</v>
      </c>
      <c r="H856" t="s">
        <v>8</v>
      </c>
      <c r="I856" cm="1">
        <f t="array" ref="I856">_xlfn.IFS(H856="Credit Card",1,H856="PayPal",2,H856="Cash",3,H856="Bank Transfer",4,TRUE,5)</f>
        <v>4</v>
      </c>
    </row>
    <row r="857" spans="1:9" x14ac:dyDescent="0.3">
      <c r="A857">
        <v>850</v>
      </c>
      <c r="B857">
        <v>360</v>
      </c>
      <c r="C857">
        <v>575</v>
      </c>
      <c r="D857">
        <v>4</v>
      </c>
      <c r="E857" s="1">
        <v>45379</v>
      </c>
      <c r="F857">
        <v>7</v>
      </c>
      <c r="G857">
        <v>735.26</v>
      </c>
      <c r="H857" t="s">
        <v>11</v>
      </c>
      <c r="I857" cm="1">
        <f t="array" ref="I857">_xlfn.IFS(H857="Credit Card",1,H857="PayPal",2,H857="Cash",3,H857="Bank Transfer",4,TRUE,5)</f>
        <v>2</v>
      </c>
    </row>
    <row r="858" spans="1:9" x14ac:dyDescent="0.3">
      <c r="A858">
        <v>851</v>
      </c>
      <c r="B858">
        <v>168</v>
      </c>
      <c r="C858">
        <v>845</v>
      </c>
      <c r="D858">
        <v>3</v>
      </c>
      <c r="E858" s="1">
        <v>45479</v>
      </c>
      <c r="F858">
        <v>14</v>
      </c>
      <c r="G858">
        <v>369.22</v>
      </c>
      <c r="H858" t="s">
        <v>11</v>
      </c>
      <c r="I858" cm="1">
        <f t="array" ref="I858">_xlfn.IFS(H858="Credit Card",1,H858="PayPal",2,H858="Cash",3,H858="Bank Transfer",4,TRUE,5)</f>
        <v>2</v>
      </c>
    </row>
    <row r="859" spans="1:9" x14ac:dyDescent="0.3">
      <c r="A859">
        <v>852</v>
      </c>
      <c r="B859">
        <v>433</v>
      </c>
      <c r="C859">
        <v>614</v>
      </c>
      <c r="D859">
        <v>3</v>
      </c>
      <c r="E859" s="1">
        <v>45304</v>
      </c>
      <c r="F859">
        <v>5</v>
      </c>
      <c r="G859">
        <v>727.43</v>
      </c>
      <c r="H859" t="s">
        <v>10</v>
      </c>
      <c r="I859" cm="1">
        <f t="array" ref="I859">_xlfn.IFS(H859="Credit Card",1,H859="PayPal",2,H859="Cash",3,H859="Bank Transfer",4,TRUE,5)</f>
        <v>3</v>
      </c>
    </row>
    <row r="860" spans="1:9" x14ac:dyDescent="0.3">
      <c r="A860">
        <v>853</v>
      </c>
      <c r="B860">
        <v>521</v>
      </c>
      <c r="C860">
        <v>649</v>
      </c>
      <c r="D860">
        <v>2</v>
      </c>
      <c r="E860" s="1">
        <v>45515</v>
      </c>
      <c r="F860">
        <v>8</v>
      </c>
      <c r="G860">
        <v>695.52</v>
      </c>
      <c r="H860" t="s">
        <v>9</v>
      </c>
      <c r="I860" cm="1">
        <f t="array" ref="I860">_xlfn.IFS(H860="Credit Card",1,H860="PayPal",2,H860="Cash",3,H860="Bank Transfer",4,TRUE,5)</f>
        <v>1</v>
      </c>
    </row>
    <row r="861" spans="1:9" x14ac:dyDescent="0.3">
      <c r="A861">
        <v>854</v>
      </c>
      <c r="B861">
        <v>492</v>
      </c>
      <c r="C861">
        <v>601</v>
      </c>
      <c r="D861">
        <v>4</v>
      </c>
      <c r="E861" s="1">
        <v>45321</v>
      </c>
      <c r="F861">
        <v>11</v>
      </c>
      <c r="G861">
        <v>846.69</v>
      </c>
      <c r="H861" t="s">
        <v>8</v>
      </c>
      <c r="I861" cm="1">
        <f t="array" ref="I861">_xlfn.IFS(H861="Credit Card",1,H861="PayPal",2,H861="Cash",3,H861="Bank Transfer",4,TRUE,5)</f>
        <v>4</v>
      </c>
    </row>
    <row r="862" spans="1:9" x14ac:dyDescent="0.3">
      <c r="A862">
        <v>855</v>
      </c>
      <c r="B862">
        <v>129</v>
      </c>
      <c r="C862">
        <v>236</v>
      </c>
      <c r="D862">
        <v>4</v>
      </c>
      <c r="E862" s="1">
        <v>45405</v>
      </c>
      <c r="F862">
        <v>16</v>
      </c>
      <c r="G862">
        <v>1404.46</v>
      </c>
      <c r="H862" t="s">
        <v>9</v>
      </c>
      <c r="I862" cm="1">
        <f t="array" ref="I862">_xlfn.IFS(H862="Credit Card",1,H862="PayPal",2,H862="Cash",3,H862="Bank Transfer",4,TRUE,5)</f>
        <v>1</v>
      </c>
    </row>
    <row r="863" spans="1:9" x14ac:dyDescent="0.3">
      <c r="A863">
        <v>856</v>
      </c>
      <c r="B863">
        <v>278</v>
      </c>
      <c r="C863">
        <v>863</v>
      </c>
      <c r="D863">
        <v>1</v>
      </c>
      <c r="E863" s="1">
        <v>45415</v>
      </c>
      <c r="F863">
        <v>5</v>
      </c>
      <c r="G863">
        <v>992.1</v>
      </c>
      <c r="H863" t="s">
        <v>10</v>
      </c>
      <c r="I863" cm="1">
        <f t="array" ref="I863">_xlfn.IFS(H863="Credit Card",1,H863="PayPal",2,H863="Cash",3,H863="Bank Transfer",4,TRUE,5)</f>
        <v>3</v>
      </c>
    </row>
    <row r="864" spans="1:9" x14ac:dyDescent="0.3">
      <c r="A864">
        <v>858</v>
      </c>
      <c r="B864">
        <v>9</v>
      </c>
      <c r="C864">
        <v>212</v>
      </c>
      <c r="D864">
        <v>4</v>
      </c>
      <c r="E864" s="1">
        <v>45396</v>
      </c>
      <c r="F864">
        <v>18</v>
      </c>
      <c r="G864">
        <v>1295.32</v>
      </c>
      <c r="H864" t="s">
        <v>8</v>
      </c>
      <c r="I864" cm="1">
        <f t="array" ref="I864">_xlfn.IFS(H864="Credit Card",1,H864="PayPal",2,H864="Cash",3,H864="Bank Transfer",4,TRUE,5)</f>
        <v>4</v>
      </c>
    </row>
    <row r="865" spans="1:9" x14ac:dyDescent="0.3">
      <c r="A865">
        <v>859</v>
      </c>
      <c r="B865">
        <v>977</v>
      </c>
      <c r="C865">
        <v>545</v>
      </c>
      <c r="D865">
        <v>3</v>
      </c>
      <c r="E865" s="1">
        <v>45388</v>
      </c>
      <c r="F865">
        <v>12</v>
      </c>
      <c r="G865">
        <v>894.16</v>
      </c>
      <c r="H865" t="s">
        <v>8</v>
      </c>
      <c r="I865" cm="1">
        <f t="array" ref="I865">_xlfn.IFS(H865="Credit Card",1,H865="PayPal",2,H865="Cash",3,H865="Bank Transfer",4,TRUE,5)</f>
        <v>4</v>
      </c>
    </row>
    <row r="866" spans="1:9" x14ac:dyDescent="0.3">
      <c r="A866">
        <v>860</v>
      </c>
      <c r="B866">
        <v>6</v>
      </c>
      <c r="C866">
        <v>636</v>
      </c>
      <c r="D866">
        <v>5</v>
      </c>
      <c r="E866" s="1">
        <v>45435</v>
      </c>
      <c r="F866">
        <v>12</v>
      </c>
      <c r="G866">
        <v>296.11</v>
      </c>
      <c r="H866" t="s">
        <v>11</v>
      </c>
      <c r="I866" cm="1">
        <f t="array" ref="I866">_xlfn.IFS(H866="Credit Card",1,H866="PayPal",2,H866="Cash",3,H866="Bank Transfer",4,TRUE,5)</f>
        <v>2</v>
      </c>
    </row>
    <row r="867" spans="1:9" x14ac:dyDescent="0.3">
      <c r="A867">
        <v>861</v>
      </c>
      <c r="B867">
        <v>3</v>
      </c>
      <c r="C867">
        <v>169</v>
      </c>
      <c r="D867">
        <v>5</v>
      </c>
      <c r="E867" s="1">
        <v>45547</v>
      </c>
      <c r="F867">
        <v>3</v>
      </c>
      <c r="G867">
        <v>686.1</v>
      </c>
      <c r="H867" t="s">
        <v>8</v>
      </c>
      <c r="I867" cm="1">
        <f t="array" ref="I867">_xlfn.IFS(H867="Credit Card",1,H867="PayPal",2,H867="Cash",3,H867="Bank Transfer",4,TRUE,5)</f>
        <v>4</v>
      </c>
    </row>
    <row r="868" spans="1:9" x14ac:dyDescent="0.3">
      <c r="A868">
        <v>862</v>
      </c>
      <c r="B868">
        <v>928</v>
      </c>
      <c r="C868">
        <v>39</v>
      </c>
      <c r="D868">
        <v>3</v>
      </c>
      <c r="E868" s="1">
        <v>45575</v>
      </c>
      <c r="F868">
        <v>7</v>
      </c>
      <c r="G868">
        <v>93.46</v>
      </c>
      <c r="H868" t="s">
        <v>11</v>
      </c>
      <c r="I868" cm="1">
        <f t="array" ref="I868">_xlfn.IFS(H868="Credit Card",1,H868="PayPal",2,H868="Cash",3,H868="Bank Transfer",4,TRUE,5)</f>
        <v>2</v>
      </c>
    </row>
    <row r="869" spans="1:9" x14ac:dyDescent="0.3">
      <c r="A869">
        <v>863</v>
      </c>
      <c r="B869">
        <v>130</v>
      </c>
      <c r="C869">
        <v>104</v>
      </c>
      <c r="D869">
        <v>4</v>
      </c>
      <c r="E869" s="1">
        <v>45349</v>
      </c>
      <c r="F869">
        <v>1</v>
      </c>
      <c r="G869">
        <v>721.55</v>
      </c>
      <c r="H869" t="s">
        <v>8</v>
      </c>
      <c r="I869" cm="1">
        <f t="array" ref="I869">_xlfn.IFS(H869="Credit Card",1,H869="PayPal",2,H869="Cash",3,H869="Bank Transfer",4,TRUE,5)</f>
        <v>4</v>
      </c>
    </row>
    <row r="870" spans="1:9" x14ac:dyDescent="0.3">
      <c r="A870">
        <v>864</v>
      </c>
      <c r="B870">
        <v>389</v>
      </c>
      <c r="C870">
        <v>343</v>
      </c>
      <c r="D870">
        <v>3</v>
      </c>
      <c r="E870" s="1">
        <v>45390</v>
      </c>
      <c r="F870">
        <v>14</v>
      </c>
      <c r="G870">
        <v>1626.07</v>
      </c>
      <c r="H870" t="s">
        <v>11</v>
      </c>
      <c r="I870" cm="1">
        <f t="array" ref="I870">_xlfn.IFS(H870="Credit Card",1,H870="PayPal",2,H870="Cash",3,H870="Bank Transfer",4,TRUE,5)</f>
        <v>2</v>
      </c>
    </row>
    <row r="871" spans="1:9" x14ac:dyDescent="0.3">
      <c r="A871">
        <v>865</v>
      </c>
      <c r="B871">
        <v>780</v>
      </c>
      <c r="C871">
        <v>415</v>
      </c>
      <c r="D871">
        <v>1</v>
      </c>
      <c r="E871" s="1">
        <v>45328</v>
      </c>
      <c r="F871">
        <v>17</v>
      </c>
      <c r="G871">
        <v>1171.24</v>
      </c>
      <c r="H871" t="s">
        <v>11</v>
      </c>
      <c r="I871" cm="1">
        <f t="array" ref="I871">_xlfn.IFS(H871="Credit Card",1,H871="PayPal",2,H871="Cash",3,H871="Bank Transfer",4,TRUE,5)</f>
        <v>2</v>
      </c>
    </row>
    <row r="872" spans="1:9" x14ac:dyDescent="0.3">
      <c r="A872">
        <v>866</v>
      </c>
      <c r="B872">
        <v>562</v>
      </c>
      <c r="C872">
        <v>67</v>
      </c>
      <c r="D872">
        <v>1</v>
      </c>
      <c r="E872" s="1">
        <v>45333</v>
      </c>
      <c r="F872">
        <v>2</v>
      </c>
      <c r="G872">
        <v>905.04</v>
      </c>
      <c r="H872" t="s">
        <v>9</v>
      </c>
      <c r="I872" cm="1">
        <f t="array" ref="I872">_xlfn.IFS(H872="Credit Card",1,H872="PayPal",2,H872="Cash",3,H872="Bank Transfer",4,TRUE,5)</f>
        <v>1</v>
      </c>
    </row>
    <row r="873" spans="1:9" x14ac:dyDescent="0.3">
      <c r="A873">
        <v>867</v>
      </c>
      <c r="B873">
        <v>71</v>
      </c>
      <c r="C873">
        <v>852</v>
      </c>
      <c r="D873">
        <v>5</v>
      </c>
      <c r="E873" s="1">
        <v>45439</v>
      </c>
      <c r="F873">
        <v>19</v>
      </c>
      <c r="G873">
        <v>1874.92</v>
      </c>
      <c r="H873" t="s">
        <v>8</v>
      </c>
      <c r="I873" cm="1">
        <f t="array" ref="I873">_xlfn.IFS(H873="Credit Card",1,H873="PayPal",2,H873="Cash",3,H873="Bank Transfer",4,TRUE,5)</f>
        <v>4</v>
      </c>
    </row>
    <row r="874" spans="1:9" x14ac:dyDescent="0.3">
      <c r="A874">
        <v>868</v>
      </c>
      <c r="B874">
        <v>520</v>
      </c>
      <c r="C874">
        <v>611</v>
      </c>
      <c r="D874">
        <v>4</v>
      </c>
      <c r="E874" s="1">
        <v>45473</v>
      </c>
      <c r="F874">
        <v>7</v>
      </c>
      <c r="G874">
        <v>1005.33</v>
      </c>
      <c r="H874" t="s">
        <v>8</v>
      </c>
      <c r="I874" cm="1">
        <f t="array" ref="I874">_xlfn.IFS(H874="Credit Card",1,H874="PayPal",2,H874="Cash",3,H874="Bank Transfer",4,TRUE,5)</f>
        <v>4</v>
      </c>
    </row>
    <row r="875" spans="1:9" x14ac:dyDescent="0.3">
      <c r="A875">
        <v>869</v>
      </c>
      <c r="B875">
        <v>136</v>
      </c>
      <c r="C875">
        <v>291</v>
      </c>
      <c r="D875">
        <v>2</v>
      </c>
      <c r="E875" s="1">
        <v>45525</v>
      </c>
      <c r="F875">
        <v>1</v>
      </c>
      <c r="G875">
        <v>930.13</v>
      </c>
      <c r="H875" t="s">
        <v>10</v>
      </c>
      <c r="I875" cm="1">
        <f t="array" ref="I875">_xlfn.IFS(H875="Credit Card",1,H875="PayPal",2,H875="Cash",3,H875="Bank Transfer",4,TRUE,5)</f>
        <v>3</v>
      </c>
    </row>
    <row r="876" spans="1:9" x14ac:dyDescent="0.3">
      <c r="A876">
        <v>870</v>
      </c>
      <c r="B876">
        <v>781</v>
      </c>
      <c r="C876">
        <v>760</v>
      </c>
      <c r="D876">
        <v>1</v>
      </c>
      <c r="E876" s="1">
        <v>45606</v>
      </c>
      <c r="F876">
        <v>10</v>
      </c>
      <c r="G876">
        <v>489.82</v>
      </c>
      <c r="H876" t="s">
        <v>9</v>
      </c>
      <c r="I876" cm="1">
        <f t="array" ref="I876">_xlfn.IFS(H876="Credit Card",1,H876="PayPal",2,H876="Cash",3,H876="Bank Transfer",4,TRUE,5)</f>
        <v>1</v>
      </c>
    </row>
    <row r="877" spans="1:9" x14ac:dyDescent="0.3">
      <c r="A877">
        <v>871</v>
      </c>
      <c r="B877">
        <v>875</v>
      </c>
      <c r="C877">
        <v>992</v>
      </c>
      <c r="D877">
        <v>3</v>
      </c>
      <c r="E877" s="1">
        <v>45326</v>
      </c>
      <c r="F877">
        <v>7</v>
      </c>
      <c r="G877">
        <v>1905.58</v>
      </c>
      <c r="H877" t="s">
        <v>9</v>
      </c>
      <c r="I877" cm="1">
        <f t="array" ref="I877">_xlfn.IFS(H877="Credit Card",1,H877="PayPal",2,H877="Cash",3,H877="Bank Transfer",4,TRUE,5)</f>
        <v>1</v>
      </c>
    </row>
    <row r="878" spans="1:9" x14ac:dyDescent="0.3">
      <c r="A878">
        <v>872</v>
      </c>
      <c r="B878">
        <v>205</v>
      </c>
      <c r="C878">
        <v>726</v>
      </c>
      <c r="D878">
        <v>3</v>
      </c>
      <c r="E878" s="1">
        <v>45505</v>
      </c>
      <c r="F878">
        <v>2</v>
      </c>
      <c r="G878">
        <v>1304.6600000000001</v>
      </c>
      <c r="H878" t="s">
        <v>10</v>
      </c>
      <c r="I878" cm="1">
        <f t="array" ref="I878">_xlfn.IFS(H878="Credit Card",1,H878="PayPal",2,H878="Cash",3,H878="Bank Transfer",4,TRUE,5)</f>
        <v>3</v>
      </c>
    </row>
    <row r="879" spans="1:9" x14ac:dyDescent="0.3">
      <c r="A879">
        <v>873</v>
      </c>
      <c r="B879">
        <v>681</v>
      </c>
      <c r="C879">
        <v>680</v>
      </c>
      <c r="D879">
        <v>3</v>
      </c>
      <c r="E879" s="1">
        <v>45298</v>
      </c>
      <c r="F879">
        <v>13</v>
      </c>
      <c r="G879">
        <v>1460.93</v>
      </c>
      <c r="H879" t="s">
        <v>9</v>
      </c>
      <c r="I879" cm="1">
        <f t="array" ref="I879">_xlfn.IFS(H879="Credit Card",1,H879="PayPal",2,H879="Cash",3,H879="Bank Transfer",4,TRUE,5)</f>
        <v>1</v>
      </c>
    </row>
    <row r="880" spans="1:9" x14ac:dyDescent="0.3">
      <c r="A880">
        <v>875</v>
      </c>
      <c r="B880">
        <v>949</v>
      </c>
      <c r="C880">
        <v>824</v>
      </c>
      <c r="D880">
        <v>4</v>
      </c>
      <c r="E880" s="1">
        <v>45297</v>
      </c>
      <c r="F880">
        <v>14</v>
      </c>
      <c r="G880">
        <v>1871.48</v>
      </c>
      <c r="H880" t="s">
        <v>9</v>
      </c>
      <c r="I880" cm="1">
        <f t="array" ref="I880">_xlfn.IFS(H880="Credit Card",1,H880="PayPal",2,H880="Cash",3,H880="Bank Transfer",4,TRUE,5)</f>
        <v>1</v>
      </c>
    </row>
    <row r="881" spans="1:9" x14ac:dyDescent="0.3">
      <c r="A881">
        <v>876</v>
      </c>
      <c r="B881">
        <v>633</v>
      </c>
      <c r="C881">
        <v>972</v>
      </c>
      <c r="D881">
        <v>3</v>
      </c>
      <c r="E881" s="1">
        <v>45349</v>
      </c>
      <c r="F881">
        <v>17</v>
      </c>
      <c r="G881">
        <v>1986.49</v>
      </c>
      <c r="H881" t="s">
        <v>9</v>
      </c>
      <c r="I881" cm="1">
        <f t="array" ref="I881">_xlfn.IFS(H881="Credit Card",1,H881="PayPal",2,H881="Cash",3,H881="Bank Transfer",4,TRUE,5)</f>
        <v>1</v>
      </c>
    </row>
    <row r="882" spans="1:9" x14ac:dyDescent="0.3">
      <c r="A882">
        <v>877</v>
      </c>
      <c r="B882">
        <v>454</v>
      </c>
      <c r="C882">
        <v>277</v>
      </c>
      <c r="D882">
        <v>3</v>
      </c>
      <c r="E882" s="1">
        <v>45616</v>
      </c>
      <c r="F882">
        <v>14</v>
      </c>
      <c r="G882">
        <v>1334.35</v>
      </c>
      <c r="H882" t="s">
        <v>10</v>
      </c>
      <c r="I882" cm="1">
        <f t="array" ref="I882">_xlfn.IFS(H882="Credit Card",1,H882="PayPal",2,H882="Cash",3,H882="Bank Transfer",4,TRUE,5)</f>
        <v>3</v>
      </c>
    </row>
    <row r="883" spans="1:9" x14ac:dyDescent="0.3">
      <c r="A883">
        <v>878</v>
      </c>
      <c r="B883">
        <v>686</v>
      </c>
      <c r="C883">
        <v>698</v>
      </c>
      <c r="D883">
        <v>1</v>
      </c>
      <c r="E883" s="1">
        <v>45621</v>
      </c>
      <c r="F883">
        <v>4</v>
      </c>
      <c r="G883">
        <v>1448.98</v>
      </c>
      <c r="H883" t="s">
        <v>9</v>
      </c>
      <c r="I883" cm="1">
        <f t="array" ref="I883">_xlfn.IFS(H883="Credit Card",1,H883="PayPal",2,H883="Cash",3,H883="Bank Transfer",4,TRUE,5)</f>
        <v>1</v>
      </c>
    </row>
    <row r="884" spans="1:9" x14ac:dyDescent="0.3">
      <c r="A884">
        <v>879</v>
      </c>
      <c r="B884">
        <v>528</v>
      </c>
      <c r="C884">
        <v>273</v>
      </c>
      <c r="D884">
        <v>5</v>
      </c>
      <c r="E884" s="1">
        <v>45478</v>
      </c>
      <c r="F884">
        <v>20</v>
      </c>
      <c r="G884">
        <v>893.61</v>
      </c>
      <c r="H884" t="s">
        <v>8</v>
      </c>
      <c r="I884" cm="1">
        <f t="array" ref="I884">_xlfn.IFS(H884="Credit Card",1,H884="PayPal",2,H884="Cash",3,H884="Bank Transfer",4,TRUE,5)</f>
        <v>4</v>
      </c>
    </row>
    <row r="885" spans="1:9" x14ac:dyDescent="0.3">
      <c r="A885">
        <v>880</v>
      </c>
      <c r="B885">
        <v>267</v>
      </c>
      <c r="C885">
        <v>653</v>
      </c>
      <c r="D885">
        <v>3</v>
      </c>
      <c r="E885" s="1">
        <v>45587</v>
      </c>
      <c r="F885">
        <v>19</v>
      </c>
      <c r="G885">
        <v>1551.38</v>
      </c>
      <c r="H885" t="s">
        <v>8</v>
      </c>
      <c r="I885" cm="1">
        <f t="array" ref="I885">_xlfn.IFS(H885="Credit Card",1,H885="PayPal",2,H885="Cash",3,H885="Bank Transfer",4,TRUE,5)</f>
        <v>4</v>
      </c>
    </row>
    <row r="886" spans="1:9" x14ac:dyDescent="0.3">
      <c r="A886">
        <v>881</v>
      </c>
      <c r="B886">
        <v>457</v>
      </c>
      <c r="C886">
        <v>621</v>
      </c>
      <c r="D886">
        <v>4</v>
      </c>
      <c r="E886" s="1">
        <v>45611</v>
      </c>
      <c r="F886">
        <v>20</v>
      </c>
      <c r="G886">
        <v>86.92</v>
      </c>
      <c r="H886" t="s">
        <v>9</v>
      </c>
      <c r="I886" cm="1">
        <f t="array" ref="I886">_xlfn.IFS(H886="Credit Card",1,H886="PayPal",2,H886="Cash",3,H886="Bank Transfer",4,TRUE,5)</f>
        <v>1</v>
      </c>
    </row>
    <row r="887" spans="1:9" x14ac:dyDescent="0.3">
      <c r="A887">
        <v>882</v>
      </c>
      <c r="B887">
        <v>112</v>
      </c>
      <c r="C887">
        <v>792</v>
      </c>
      <c r="D887">
        <v>3</v>
      </c>
      <c r="E887" s="1">
        <v>45369</v>
      </c>
      <c r="F887">
        <v>15</v>
      </c>
      <c r="G887">
        <v>366.1</v>
      </c>
      <c r="H887" t="s">
        <v>8</v>
      </c>
      <c r="I887" cm="1">
        <f t="array" ref="I887">_xlfn.IFS(H887="Credit Card",1,H887="PayPal",2,H887="Cash",3,H887="Bank Transfer",4,TRUE,5)</f>
        <v>4</v>
      </c>
    </row>
    <row r="888" spans="1:9" x14ac:dyDescent="0.3">
      <c r="A888">
        <v>883</v>
      </c>
      <c r="B888">
        <v>878</v>
      </c>
      <c r="C888">
        <v>162</v>
      </c>
      <c r="D888">
        <v>1</v>
      </c>
      <c r="E888" s="1">
        <v>45503</v>
      </c>
      <c r="F888">
        <v>1</v>
      </c>
      <c r="G888">
        <v>559.54</v>
      </c>
      <c r="H888" t="s">
        <v>10</v>
      </c>
      <c r="I888" cm="1">
        <f t="array" ref="I888">_xlfn.IFS(H888="Credit Card",1,H888="PayPal",2,H888="Cash",3,H888="Bank Transfer",4,TRUE,5)</f>
        <v>3</v>
      </c>
    </row>
    <row r="889" spans="1:9" x14ac:dyDescent="0.3">
      <c r="A889">
        <v>884</v>
      </c>
      <c r="B889">
        <v>184</v>
      </c>
      <c r="C889">
        <v>539</v>
      </c>
      <c r="D889">
        <v>1</v>
      </c>
      <c r="E889" s="1">
        <v>45483</v>
      </c>
      <c r="F889">
        <v>15</v>
      </c>
      <c r="G889">
        <v>34.67</v>
      </c>
      <c r="H889" t="s">
        <v>11</v>
      </c>
      <c r="I889" cm="1">
        <f t="array" ref="I889">_xlfn.IFS(H889="Credit Card",1,H889="PayPal",2,H889="Cash",3,H889="Bank Transfer",4,TRUE,5)</f>
        <v>2</v>
      </c>
    </row>
    <row r="890" spans="1:9" x14ac:dyDescent="0.3">
      <c r="A890">
        <v>885</v>
      </c>
      <c r="B890">
        <v>546</v>
      </c>
      <c r="C890">
        <v>798</v>
      </c>
      <c r="D890">
        <v>5</v>
      </c>
      <c r="E890" s="1">
        <v>45314</v>
      </c>
      <c r="F890">
        <v>11</v>
      </c>
      <c r="G890">
        <v>1324.72</v>
      </c>
      <c r="H890" t="s">
        <v>9</v>
      </c>
      <c r="I890" cm="1">
        <f t="array" ref="I890">_xlfn.IFS(H890="Credit Card",1,H890="PayPal",2,H890="Cash",3,H890="Bank Transfer",4,TRUE,5)</f>
        <v>1</v>
      </c>
    </row>
    <row r="891" spans="1:9" x14ac:dyDescent="0.3">
      <c r="A891">
        <v>887</v>
      </c>
      <c r="B891">
        <v>587</v>
      </c>
      <c r="C891">
        <v>528</v>
      </c>
      <c r="D891">
        <v>5</v>
      </c>
      <c r="E891" s="1">
        <v>45357</v>
      </c>
      <c r="F891">
        <v>14</v>
      </c>
      <c r="G891">
        <v>801.43</v>
      </c>
      <c r="H891" t="s">
        <v>8</v>
      </c>
      <c r="I891" cm="1">
        <f t="array" ref="I891">_xlfn.IFS(H891="Credit Card",1,H891="PayPal",2,H891="Cash",3,H891="Bank Transfer",4,TRUE,5)</f>
        <v>4</v>
      </c>
    </row>
    <row r="892" spans="1:9" x14ac:dyDescent="0.3">
      <c r="A892">
        <v>888</v>
      </c>
      <c r="B892">
        <v>841</v>
      </c>
      <c r="C892">
        <v>618</v>
      </c>
      <c r="D892">
        <v>2</v>
      </c>
      <c r="E892" s="1">
        <v>45333</v>
      </c>
      <c r="F892">
        <v>5</v>
      </c>
      <c r="G892">
        <v>1464.68</v>
      </c>
      <c r="H892" t="s">
        <v>10</v>
      </c>
      <c r="I892" cm="1">
        <f t="array" ref="I892">_xlfn.IFS(H892="Credit Card",1,H892="PayPal",2,H892="Cash",3,H892="Bank Transfer",4,TRUE,5)</f>
        <v>3</v>
      </c>
    </row>
    <row r="893" spans="1:9" x14ac:dyDescent="0.3">
      <c r="A893">
        <v>889</v>
      </c>
      <c r="B893">
        <v>776</v>
      </c>
      <c r="C893">
        <v>661</v>
      </c>
      <c r="D893">
        <v>2</v>
      </c>
      <c r="E893" s="1">
        <v>45538</v>
      </c>
      <c r="F893">
        <v>2</v>
      </c>
      <c r="G893">
        <v>475.09</v>
      </c>
      <c r="H893" t="s">
        <v>11</v>
      </c>
      <c r="I893" cm="1">
        <f t="array" ref="I893">_xlfn.IFS(H893="Credit Card",1,H893="PayPal",2,H893="Cash",3,H893="Bank Transfer",4,TRUE,5)</f>
        <v>2</v>
      </c>
    </row>
    <row r="894" spans="1:9" x14ac:dyDescent="0.3">
      <c r="A894">
        <v>890</v>
      </c>
      <c r="B894">
        <v>225</v>
      </c>
      <c r="C894">
        <v>611</v>
      </c>
      <c r="D894">
        <v>3</v>
      </c>
      <c r="E894" s="1">
        <v>45322</v>
      </c>
      <c r="F894">
        <v>17</v>
      </c>
      <c r="G894">
        <v>946.48</v>
      </c>
      <c r="H894" t="s">
        <v>8</v>
      </c>
      <c r="I894" cm="1">
        <f t="array" ref="I894">_xlfn.IFS(H894="Credit Card",1,H894="PayPal",2,H894="Cash",3,H894="Bank Transfer",4,TRUE,5)</f>
        <v>4</v>
      </c>
    </row>
    <row r="895" spans="1:9" x14ac:dyDescent="0.3">
      <c r="A895">
        <v>891</v>
      </c>
      <c r="B895">
        <v>598</v>
      </c>
      <c r="C895">
        <v>526</v>
      </c>
      <c r="D895">
        <v>1</v>
      </c>
      <c r="E895" s="1">
        <v>45584</v>
      </c>
      <c r="F895">
        <v>17</v>
      </c>
      <c r="G895">
        <v>304.56</v>
      </c>
      <c r="H895" t="s">
        <v>8</v>
      </c>
      <c r="I895" cm="1">
        <f t="array" ref="I895">_xlfn.IFS(H895="Credit Card",1,H895="PayPal",2,H895="Cash",3,H895="Bank Transfer",4,TRUE,5)</f>
        <v>4</v>
      </c>
    </row>
    <row r="896" spans="1:9" x14ac:dyDescent="0.3">
      <c r="A896">
        <v>892</v>
      </c>
      <c r="B896">
        <v>4</v>
      </c>
      <c r="C896">
        <v>444</v>
      </c>
      <c r="D896">
        <v>4</v>
      </c>
      <c r="E896" s="1">
        <v>45524</v>
      </c>
      <c r="F896">
        <v>17</v>
      </c>
      <c r="G896">
        <v>705.24</v>
      </c>
      <c r="H896" t="s">
        <v>9</v>
      </c>
      <c r="I896" cm="1">
        <f t="array" ref="I896">_xlfn.IFS(H896="Credit Card",1,H896="PayPal",2,H896="Cash",3,H896="Bank Transfer",4,TRUE,5)</f>
        <v>1</v>
      </c>
    </row>
    <row r="897" spans="1:9" x14ac:dyDescent="0.3">
      <c r="A897">
        <v>893</v>
      </c>
      <c r="B897">
        <v>278</v>
      </c>
      <c r="C897">
        <v>583</v>
      </c>
      <c r="D897">
        <v>4</v>
      </c>
      <c r="E897" s="1">
        <v>45320</v>
      </c>
      <c r="F897">
        <v>6</v>
      </c>
      <c r="G897">
        <v>1875.6</v>
      </c>
      <c r="H897" t="s">
        <v>9</v>
      </c>
      <c r="I897" cm="1">
        <f t="array" ref="I897">_xlfn.IFS(H897="Credit Card",1,H897="PayPal",2,H897="Cash",3,H897="Bank Transfer",4,TRUE,5)</f>
        <v>1</v>
      </c>
    </row>
    <row r="898" spans="1:9" x14ac:dyDescent="0.3">
      <c r="A898">
        <v>894</v>
      </c>
      <c r="B898">
        <v>331</v>
      </c>
      <c r="C898">
        <v>288</v>
      </c>
      <c r="D898">
        <v>1</v>
      </c>
      <c r="E898" s="1">
        <v>45354</v>
      </c>
      <c r="F898">
        <v>4</v>
      </c>
      <c r="G898">
        <v>1599.36</v>
      </c>
      <c r="H898" t="s">
        <v>8</v>
      </c>
      <c r="I898" cm="1">
        <f t="array" ref="I898">_xlfn.IFS(H898="Credit Card",1,H898="PayPal",2,H898="Cash",3,H898="Bank Transfer",4,TRUE,5)</f>
        <v>4</v>
      </c>
    </row>
    <row r="899" spans="1:9" x14ac:dyDescent="0.3">
      <c r="A899">
        <v>895</v>
      </c>
      <c r="B899">
        <v>433</v>
      </c>
      <c r="C899">
        <v>16</v>
      </c>
      <c r="D899">
        <v>1</v>
      </c>
      <c r="E899" s="1">
        <v>45322</v>
      </c>
      <c r="F899">
        <v>4</v>
      </c>
      <c r="G899">
        <v>1459.57</v>
      </c>
      <c r="H899" t="s">
        <v>11</v>
      </c>
      <c r="I899" cm="1">
        <f t="array" ref="I899">_xlfn.IFS(H899="Credit Card",1,H899="PayPal",2,H899="Cash",3,H899="Bank Transfer",4,TRUE,5)</f>
        <v>2</v>
      </c>
    </row>
    <row r="900" spans="1:9" x14ac:dyDescent="0.3">
      <c r="A900">
        <v>896</v>
      </c>
      <c r="B900">
        <v>136</v>
      </c>
      <c r="C900">
        <v>102</v>
      </c>
      <c r="D900">
        <v>5</v>
      </c>
      <c r="E900" s="1">
        <v>45526</v>
      </c>
      <c r="F900">
        <v>17</v>
      </c>
      <c r="G900">
        <v>1802.19</v>
      </c>
      <c r="H900" t="s">
        <v>8</v>
      </c>
      <c r="I900" cm="1">
        <f t="array" ref="I900">_xlfn.IFS(H900="Credit Card",1,H900="PayPal",2,H900="Cash",3,H900="Bank Transfer",4,TRUE,5)</f>
        <v>4</v>
      </c>
    </row>
    <row r="901" spans="1:9" x14ac:dyDescent="0.3">
      <c r="A901">
        <v>897</v>
      </c>
      <c r="B901">
        <v>310</v>
      </c>
      <c r="C901">
        <v>318</v>
      </c>
      <c r="D901">
        <v>2</v>
      </c>
      <c r="E901" s="1">
        <v>45469</v>
      </c>
      <c r="F901">
        <v>17</v>
      </c>
      <c r="G901">
        <v>551.34</v>
      </c>
      <c r="H901" t="s">
        <v>8</v>
      </c>
      <c r="I901" cm="1">
        <f t="array" ref="I901">_xlfn.IFS(H901="Credit Card",1,H901="PayPal",2,H901="Cash",3,H901="Bank Transfer",4,TRUE,5)</f>
        <v>4</v>
      </c>
    </row>
    <row r="902" spans="1:9" x14ac:dyDescent="0.3">
      <c r="A902">
        <v>898</v>
      </c>
      <c r="B902">
        <v>369</v>
      </c>
      <c r="C902">
        <v>679</v>
      </c>
      <c r="D902">
        <v>2</v>
      </c>
      <c r="E902" s="1">
        <v>45447</v>
      </c>
      <c r="F902">
        <v>10</v>
      </c>
      <c r="G902">
        <v>594.54999999999995</v>
      </c>
      <c r="H902" t="s">
        <v>11</v>
      </c>
      <c r="I902" cm="1">
        <f t="array" ref="I902">_xlfn.IFS(H902="Credit Card",1,H902="PayPal",2,H902="Cash",3,H902="Bank Transfer",4,TRUE,5)</f>
        <v>2</v>
      </c>
    </row>
    <row r="903" spans="1:9" x14ac:dyDescent="0.3">
      <c r="A903">
        <v>899</v>
      </c>
      <c r="B903">
        <v>529</v>
      </c>
      <c r="C903">
        <v>86</v>
      </c>
      <c r="D903">
        <v>5</v>
      </c>
      <c r="E903" s="1">
        <v>45332</v>
      </c>
      <c r="F903">
        <v>4</v>
      </c>
      <c r="G903">
        <v>548.85</v>
      </c>
      <c r="H903" t="s">
        <v>11</v>
      </c>
      <c r="I903" cm="1">
        <f t="array" ref="I903">_xlfn.IFS(H903="Credit Card",1,H903="PayPal",2,H903="Cash",3,H903="Bank Transfer",4,TRUE,5)</f>
        <v>2</v>
      </c>
    </row>
    <row r="904" spans="1:9" x14ac:dyDescent="0.3">
      <c r="A904">
        <v>900</v>
      </c>
      <c r="B904">
        <v>615</v>
      </c>
      <c r="C904">
        <v>396</v>
      </c>
      <c r="D904">
        <v>5</v>
      </c>
      <c r="E904" s="1">
        <v>45510</v>
      </c>
      <c r="F904">
        <v>18</v>
      </c>
      <c r="G904">
        <v>1317.08</v>
      </c>
      <c r="H904" t="s">
        <v>9</v>
      </c>
      <c r="I904" cm="1">
        <f t="array" ref="I904">_xlfn.IFS(H904="Credit Card",1,H904="PayPal",2,H904="Cash",3,H904="Bank Transfer",4,TRUE,5)</f>
        <v>1</v>
      </c>
    </row>
    <row r="905" spans="1:9" x14ac:dyDescent="0.3">
      <c r="A905">
        <v>901</v>
      </c>
      <c r="B905">
        <v>712</v>
      </c>
      <c r="C905">
        <v>173</v>
      </c>
      <c r="D905">
        <v>5</v>
      </c>
      <c r="E905" s="1">
        <v>45472</v>
      </c>
      <c r="F905">
        <v>11</v>
      </c>
      <c r="G905">
        <v>154.75</v>
      </c>
      <c r="H905" t="s">
        <v>11</v>
      </c>
      <c r="I905" cm="1">
        <f t="array" ref="I905">_xlfn.IFS(H905="Credit Card",1,H905="PayPal",2,H905="Cash",3,H905="Bank Transfer",4,TRUE,5)</f>
        <v>2</v>
      </c>
    </row>
    <row r="906" spans="1:9" x14ac:dyDescent="0.3">
      <c r="A906">
        <v>902</v>
      </c>
      <c r="B906">
        <v>182</v>
      </c>
      <c r="C906">
        <v>857</v>
      </c>
      <c r="D906">
        <v>4</v>
      </c>
      <c r="E906" s="1">
        <v>45434</v>
      </c>
      <c r="F906">
        <v>6</v>
      </c>
      <c r="G906">
        <v>851.24</v>
      </c>
      <c r="H906" t="s">
        <v>11</v>
      </c>
      <c r="I906" cm="1">
        <f t="array" ref="I906">_xlfn.IFS(H906="Credit Card",1,H906="PayPal",2,H906="Cash",3,H906="Bank Transfer",4,TRUE,5)</f>
        <v>2</v>
      </c>
    </row>
    <row r="907" spans="1:9" x14ac:dyDescent="0.3">
      <c r="A907">
        <v>903</v>
      </c>
      <c r="B907">
        <v>87</v>
      </c>
      <c r="C907">
        <v>426</v>
      </c>
      <c r="D907">
        <v>2</v>
      </c>
      <c r="E907" s="1">
        <v>45313</v>
      </c>
      <c r="F907">
        <v>1</v>
      </c>
      <c r="G907">
        <v>276.27999999999997</v>
      </c>
      <c r="H907" t="s">
        <v>8</v>
      </c>
      <c r="I907" cm="1">
        <f t="array" ref="I907">_xlfn.IFS(H907="Credit Card",1,H907="PayPal",2,H907="Cash",3,H907="Bank Transfer",4,TRUE,5)</f>
        <v>4</v>
      </c>
    </row>
    <row r="908" spans="1:9" x14ac:dyDescent="0.3">
      <c r="A908">
        <v>904</v>
      </c>
      <c r="B908">
        <v>749</v>
      </c>
      <c r="C908">
        <v>291</v>
      </c>
      <c r="D908">
        <v>1</v>
      </c>
      <c r="E908" s="1">
        <v>45470</v>
      </c>
      <c r="F908">
        <v>6</v>
      </c>
      <c r="G908">
        <v>1825.9</v>
      </c>
      <c r="H908" t="s">
        <v>8</v>
      </c>
      <c r="I908" cm="1">
        <f t="array" ref="I908">_xlfn.IFS(H908="Credit Card",1,H908="PayPal",2,H908="Cash",3,H908="Bank Transfer",4,TRUE,5)</f>
        <v>4</v>
      </c>
    </row>
    <row r="909" spans="1:9" x14ac:dyDescent="0.3">
      <c r="A909">
        <v>905</v>
      </c>
      <c r="B909">
        <v>381</v>
      </c>
      <c r="C909">
        <v>634</v>
      </c>
      <c r="D909">
        <v>2</v>
      </c>
      <c r="E909" s="1">
        <v>45575</v>
      </c>
      <c r="F909">
        <v>8</v>
      </c>
      <c r="G909">
        <v>654.62</v>
      </c>
      <c r="H909" t="s">
        <v>8</v>
      </c>
      <c r="I909" cm="1">
        <f t="array" ref="I909">_xlfn.IFS(H909="Credit Card",1,H909="PayPal",2,H909="Cash",3,H909="Bank Transfer",4,TRUE,5)</f>
        <v>4</v>
      </c>
    </row>
    <row r="910" spans="1:9" x14ac:dyDescent="0.3">
      <c r="A910">
        <v>906</v>
      </c>
      <c r="B910">
        <v>445</v>
      </c>
      <c r="C910">
        <v>316</v>
      </c>
      <c r="D910">
        <v>4</v>
      </c>
      <c r="E910" s="1">
        <v>45327</v>
      </c>
      <c r="F910">
        <v>13</v>
      </c>
      <c r="G910">
        <v>1429.33</v>
      </c>
      <c r="H910" t="s">
        <v>10</v>
      </c>
      <c r="I910" cm="1">
        <f t="array" ref="I910">_xlfn.IFS(H910="Credit Card",1,H910="PayPal",2,H910="Cash",3,H910="Bank Transfer",4,TRUE,5)</f>
        <v>3</v>
      </c>
    </row>
    <row r="911" spans="1:9" x14ac:dyDescent="0.3">
      <c r="A911">
        <v>907</v>
      </c>
      <c r="B911">
        <v>597</v>
      </c>
      <c r="C911">
        <v>96</v>
      </c>
      <c r="D911">
        <v>3</v>
      </c>
      <c r="E911" s="1">
        <v>45611</v>
      </c>
      <c r="F911">
        <v>20</v>
      </c>
      <c r="G911">
        <v>472.75</v>
      </c>
      <c r="H911" t="s">
        <v>9</v>
      </c>
      <c r="I911" cm="1">
        <f t="array" ref="I911">_xlfn.IFS(H911="Credit Card",1,H911="PayPal",2,H911="Cash",3,H911="Bank Transfer",4,TRUE,5)</f>
        <v>1</v>
      </c>
    </row>
    <row r="912" spans="1:9" x14ac:dyDescent="0.3">
      <c r="A912">
        <v>908</v>
      </c>
      <c r="B912">
        <v>125</v>
      </c>
      <c r="C912">
        <v>498</v>
      </c>
      <c r="D912">
        <v>3</v>
      </c>
      <c r="E912" s="1">
        <v>45496</v>
      </c>
      <c r="F912">
        <v>5</v>
      </c>
      <c r="G912">
        <v>1383.45</v>
      </c>
      <c r="H912" t="s">
        <v>8</v>
      </c>
      <c r="I912" cm="1">
        <f t="array" ref="I912">_xlfn.IFS(H912="Credit Card",1,H912="PayPal",2,H912="Cash",3,H912="Bank Transfer",4,TRUE,5)</f>
        <v>4</v>
      </c>
    </row>
    <row r="913" spans="1:9" x14ac:dyDescent="0.3">
      <c r="A913">
        <v>909</v>
      </c>
      <c r="B913">
        <v>109</v>
      </c>
      <c r="C913">
        <v>177</v>
      </c>
      <c r="D913">
        <v>3</v>
      </c>
      <c r="E913" s="1">
        <v>45355</v>
      </c>
      <c r="F913">
        <v>4</v>
      </c>
      <c r="G913">
        <v>106.97</v>
      </c>
      <c r="H913" t="s">
        <v>9</v>
      </c>
      <c r="I913" cm="1">
        <f t="array" ref="I913">_xlfn.IFS(H913="Credit Card",1,H913="PayPal",2,H913="Cash",3,H913="Bank Transfer",4,TRUE,5)</f>
        <v>1</v>
      </c>
    </row>
    <row r="914" spans="1:9" x14ac:dyDescent="0.3">
      <c r="A914">
        <v>910</v>
      </c>
      <c r="B914">
        <v>546</v>
      </c>
      <c r="C914">
        <v>632</v>
      </c>
      <c r="D914">
        <v>5</v>
      </c>
      <c r="E914" s="1">
        <v>45346</v>
      </c>
      <c r="F914">
        <v>5</v>
      </c>
      <c r="G914">
        <v>69.98</v>
      </c>
      <c r="H914" t="s">
        <v>11</v>
      </c>
      <c r="I914" cm="1">
        <f t="array" ref="I914">_xlfn.IFS(H914="Credit Card",1,H914="PayPal",2,H914="Cash",3,H914="Bank Transfer",4,TRUE,5)</f>
        <v>2</v>
      </c>
    </row>
    <row r="915" spans="1:9" x14ac:dyDescent="0.3">
      <c r="A915">
        <v>911</v>
      </c>
      <c r="B915">
        <v>323</v>
      </c>
      <c r="C915">
        <v>801</v>
      </c>
      <c r="D915">
        <v>5</v>
      </c>
      <c r="E915" s="1">
        <v>45580</v>
      </c>
      <c r="F915">
        <v>1</v>
      </c>
      <c r="G915">
        <v>1876.14</v>
      </c>
      <c r="H915" t="s">
        <v>10</v>
      </c>
      <c r="I915" cm="1">
        <f t="array" ref="I915">_xlfn.IFS(H915="Credit Card",1,H915="PayPal",2,H915="Cash",3,H915="Bank Transfer",4,TRUE,5)</f>
        <v>3</v>
      </c>
    </row>
    <row r="916" spans="1:9" x14ac:dyDescent="0.3">
      <c r="A916">
        <v>912</v>
      </c>
      <c r="B916">
        <v>201</v>
      </c>
      <c r="C916">
        <v>601</v>
      </c>
      <c r="D916">
        <v>1</v>
      </c>
      <c r="E916" s="1">
        <v>45464</v>
      </c>
      <c r="F916">
        <v>19</v>
      </c>
      <c r="G916">
        <v>1404.23</v>
      </c>
      <c r="H916" t="s">
        <v>8</v>
      </c>
      <c r="I916" cm="1">
        <f t="array" ref="I916">_xlfn.IFS(H916="Credit Card",1,H916="PayPal",2,H916="Cash",3,H916="Bank Transfer",4,TRUE,5)</f>
        <v>4</v>
      </c>
    </row>
    <row r="917" spans="1:9" x14ac:dyDescent="0.3">
      <c r="A917">
        <v>913</v>
      </c>
      <c r="B917">
        <v>844</v>
      </c>
      <c r="C917">
        <v>817</v>
      </c>
      <c r="D917">
        <v>5</v>
      </c>
      <c r="E917" s="1">
        <v>45425</v>
      </c>
      <c r="F917">
        <v>13</v>
      </c>
      <c r="G917">
        <v>244.1</v>
      </c>
      <c r="H917" t="s">
        <v>11</v>
      </c>
      <c r="I917" cm="1">
        <f t="array" ref="I917">_xlfn.IFS(H917="Credit Card",1,H917="PayPal",2,H917="Cash",3,H917="Bank Transfer",4,TRUE,5)</f>
        <v>2</v>
      </c>
    </row>
    <row r="918" spans="1:9" x14ac:dyDescent="0.3">
      <c r="A918">
        <v>914</v>
      </c>
      <c r="B918">
        <v>487</v>
      </c>
      <c r="C918">
        <v>664</v>
      </c>
      <c r="D918">
        <v>3</v>
      </c>
      <c r="E918" s="1">
        <v>45566</v>
      </c>
      <c r="F918">
        <v>9</v>
      </c>
      <c r="G918">
        <v>353.35</v>
      </c>
      <c r="H918" t="s">
        <v>10</v>
      </c>
      <c r="I918" cm="1">
        <f t="array" ref="I918">_xlfn.IFS(H918="Credit Card",1,H918="PayPal",2,H918="Cash",3,H918="Bank Transfer",4,TRUE,5)</f>
        <v>3</v>
      </c>
    </row>
    <row r="919" spans="1:9" x14ac:dyDescent="0.3">
      <c r="A919">
        <v>915</v>
      </c>
      <c r="B919">
        <v>725</v>
      </c>
      <c r="C919">
        <v>610</v>
      </c>
      <c r="D919">
        <v>4</v>
      </c>
      <c r="E919" s="1">
        <v>45479</v>
      </c>
      <c r="F919">
        <v>8</v>
      </c>
      <c r="G919">
        <v>1204.5</v>
      </c>
      <c r="H919" t="s">
        <v>11</v>
      </c>
      <c r="I919" cm="1">
        <f t="array" ref="I919">_xlfn.IFS(H919="Credit Card",1,H919="PayPal",2,H919="Cash",3,H919="Bank Transfer",4,TRUE,5)</f>
        <v>2</v>
      </c>
    </row>
    <row r="920" spans="1:9" x14ac:dyDescent="0.3">
      <c r="A920">
        <v>916</v>
      </c>
      <c r="B920">
        <v>752</v>
      </c>
      <c r="C920">
        <v>110</v>
      </c>
      <c r="D920">
        <v>1</v>
      </c>
      <c r="E920" s="1">
        <v>45362</v>
      </c>
      <c r="F920">
        <v>17</v>
      </c>
      <c r="G920">
        <v>1460.52</v>
      </c>
      <c r="H920" t="s">
        <v>9</v>
      </c>
      <c r="I920" cm="1">
        <f t="array" ref="I920">_xlfn.IFS(H920="Credit Card",1,H920="PayPal",2,H920="Cash",3,H920="Bank Transfer",4,TRUE,5)</f>
        <v>1</v>
      </c>
    </row>
    <row r="921" spans="1:9" x14ac:dyDescent="0.3">
      <c r="A921">
        <v>917</v>
      </c>
      <c r="B921">
        <v>744</v>
      </c>
      <c r="C921">
        <v>628</v>
      </c>
      <c r="D921">
        <v>1</v>
      </c>
      <c r="E921" s="1">
        <v>45607</v>
      </c>
      <c r="F921">
        <v>12</v>
      </c>
      <c r="G921">
        <v>839.34</v>
      </c>
      <c r="H921" t="s">
        <v>9</v>
      </c>
      <c r="I921" cm="1">
        <f t="array" ref="I921">_xlfn.IFS(H921="Credit Card",1,H921="PayPal",2,H921="Cash",3,H921="Bank Transfer",4,TRUE,5)</f>
        <v>1</v>
      </c>
    </row>
    <row r="922" spans="1:9" x14ac:dyDescent="0.3">
      <c r="A922">
        <v>918</v>
      </c>
      <c r="B922">
        <v>99</v>
      </c>
      <c r="C922">
        <v>866</v>
      </c>
      <c r="D922">
        <v>5</v>
      </c>
      <c r="E922" s="1">
        <v>45612</v>
      </c>
      <c r="F922">
        <v>20</v>
      </c>
      <c r="G922">
        <v>827.9</v>
      </c>
      <c r="H922" t="s">
        <v>9</v>
      </c>
      <c r="I922" cm="1">
        <f t="array" ref="I922">_xlfn.IFS(H922="Credit Card",1,H922="PayPal",2,H922="Cash",3,H922="Bank Transfer",4,TRUE,5)</f>
        <v>1</v>
      </c>
    </row>
    <row r="923" spans="1:9" x14ac:dyDescent="0.3">
      <c r="A923">
        <v>919</v>
      </c>
      <c r="B923">
        <v>196</v>
      </c>
      <c r="C923">
        <v>688</v>
      </c>
      <c r="D923">
        <v>5</v>
      </c>
      <c r="E923" s="1">
        <v>45406</v>
      </c>
      <c r="F923">
        <v>8</v>
      </c>
      <c r="G923">
        <v>1049.79</v>
      </c>
      <c r="H923" t="s">
        <v>11</v>
      </c>
      <c r="I923" cm="1">
        <f t="array" ref="I923">_xlfn.IFS(H923="Credit Card",1,H923="PayPal",2,H923="Cash",3,H923="Bank Transfer",4,TRUE,5)</f>
        <v>2</v>
      </c>
    </row>
    <row r="924" spans="1:9" x14ac:dyDescent="0.3">
      <c r="A924">
        <v>920</v>
      </c>
      <c r="B924">
        <v>258</v>
      </c>
      <c r="C924">
        <v>154</v>
      </c>
      <c r="D924">
        <v>1</v>
      </c>
      <c r="E924" s="1">
        <v>45341</v>
      </c>
      <c r="F924">
        <v>14</v>
      </c>
      <c r="G924">
        <v>1959.79</v>
      </c>
      <c r="H924" t="s">
        <v>9</v>
      </c>
      <c r="I924" cm="1">
        <f t="array" ref="I924">_xlfn.IFS(H924="Credit Card",1,H924="PayPal",2,H924="Cash",3,H924="Bank Transfer",4,TRUE,5)</f>
        <v>1</v>
      </c>
    </row>
    <row r="925" spans="1:9" x14ac:dyDescent="0.3">
      <c r="A925">
        <v>921</v>
      </c>
      <c r="B925">
        <v>440</v>
      </c>
      <c r="C925">
        <v>46</v>
      </c>
      <c r="D925">
        <v>1</v>
      </c>
      <c r="E925" s="1">
        <v>45330</v>
      </c>
      <c r="F925">
        <v>17</v>
      </c>
      <c r="G925">
        <v>1787.64</v>
      </c>
      <c r="H925" t="s">
        <v>9</v>
      </c>
      <c r="I925" cm="1">
        <f t="array" ref="I925">_xlfn.IFS(H925="Credit Card",1,H925="PayPal",2,H925="Cash",3,H925="Bank Transfer",4,TRUE,5)</f>
        <v>1</v>
      </c>
    </row>
    <row r="926" spans="1:9" x14ac:dyDescent="0.3">
      <c r="A926">
        <v>922</v>
      </c>
      <c r="B926">
        <v>484</v>
      </c>
      <c r="C926">
        <v>740</v>
      </c>
      <c r="D926">
        <v>5</v>
      </c>
      <c r="E926" s="1">
        <v>45406</v>
      </c>
      <c r="F926">
        <v>13</v>
      </c>
      <c r="G926">
        <v>907.7</v>
      </c>
      <c r="H926" t="s">
        <v>10</v>
      </c>
      <c r="I926" cm="1">
        <f t="array" ref="I926">_xlfn.IFS(H926="Credit Card",1,H926="PayPal",2,H926="Cash",3,H926="Bank Transfer",4,TRUE,5)</f>
        <v>3</v>
      </c>
    </row>
    <row r="927" spans="1:9" x14ac:dyDescent="0.3">
      <c r="A927">
        <v>923</v>
      </c>
      <c r="B927">
        <v>299</v>
      </c>
      <c r="C927">
        <v>981</v>
      </c>
      <c r="D927">
        <v>4</v>
      </c>
      <c r="E927" s="1">
        <v>45423</v>
      </c>
      <c r="F927">
        <v>1</v>
      </c>
      <c r="G927">
        <v>1022.53</v>
      </c>
      <c r="H927" t="s">
        <v>8</v>
      </c>
      <c r="I927" cm="1">
        <f t="array" ref="I927">_xlfn.IFS(H927="Credit Card",1,H927="PayPal",2,H927="Cash",3,H927="Bank Transfer",4,TRUE,5)</f>
        <v>4</v>
      </c>
    </row>
    <row r="928" spans="1:9" x14ac:dyDescent="0.3">
      <c r="A928">
        <v>924</v>
      </c>
      <c r="B928">
        <v>493</v>
      </c>
      <c r="C928">
        <v>631</v>
      </c>
      <c r="D928">
        <v>5</v>
      </c>
      <c r="E928" s="1">
        <v>45414</v>
      </c>
      <c r="F928">
        <v>2</v>
      </c>
      <c r="G928">
        <v>373.46</v>
      </c>
      <c r="H928" t="s">
        <v>8</v>
      </c>
      <c r="I928" cm="1">
        <f t="array" ref="I928">_xlfn.IFS(H928="Credit Card",1,H928="PayPal",2,H928="Cash",3,H928="Bank Transfer",4,TRUE,5)</f>
        <v>4</v>
      </c>
    </row>
    <row r="929" spans="1:9" x14ac:dyDescent="0.3">
      <c r="A929">
        <v>925</v>
      </c>
      <c r="B929">
        <v>497</v>
      </c>
      <c r="C929">
        <v>970</v>
      </c>
      <c r="D929">
        <v>3</v>
      </c>
      <c r="E929" s="1">
        <v>45534</v>
      </c>
      <c r="F929">
        <v>9</v>
      </c>
      <c r="G929">
        <v>223.33</v>
      </c>
      <c r="H929" t="s">
        <v>8</v>
      </c>
      <c r="I929" cm="1">
        <f t="array" ref="I929">_xlfn.IFS(H929="Credit Card",1,H929="PayPal",2,H929="Cash",3,H929="Bank Transfer",4,TRUE,5)</f>
        <v>4</v>
      </c>
    </row>
    <row r="930" spans="1:9" x14ac:dyDescent="0.3">
      <c r="A930">
        <v>926</v>
      </c>
      <c r="B930">
        <v>666</v>
      </c>
      <c r="C930">
        <v>198</v>
      </c>
      <c r="D930">
        <v>3</v>
      </c>
      <c r="E930" s="1">
        <v>45595</v>
      </c>
      <c r="F930">
        <v>7</v>
      </c>
      <c r="G930">
        <v>1603.85</v>
      </c>
      <c r="H930" t="s">
        <v>11</v>
      </c>
      <c r="I930" cm="1">
        <f t="array" ref="I930">_xlfn.IFS(H930="Credit Card",1,H930="PayPal",2,H930="Cash",3,H930="Bank Transfer",4,TRUE,5)</f>
        <v>2</v>
      </c>
    </row>
    <row r="931" spans="1:9" x14ac:dyDescent="0.3">
      <c r="A931">
        <v>927</v>
      </c>
      <c r="B931">
        <v>352</v>
      </c>
      <c r="C931">
        <v>603</v>
      </c>
      <c r="D931">
        <v>3</v>
      </c>
      <c r="E931" s="1">
        <v>45378</v>
      </c>
      <c r="F931">
        <v>8</v>
      </c>
      <c r="G931">
        <v>496.25</v>
      </c>
      <c r="H931" t="s">
        <v>9</v>
      </c>
      <c r="I931" cm="1">
        <f t="array" ref="I931">_xlfn.IFS(H931="Credit Card",1,H931="PayPal",2,H931="Cash",3,H931="Bank Transfer",4,TRUE,5)</f>
        <v>1</v>
      </c>
    </row>
    <row r="932" spans="1:9" x14ac:dyDescent="0.3">
      <c r="A932">
        <v>928</v>
      </c>
      <c r="B932">
        <v>842</v>
      </c>
      <c r="C932">
        <v>812</v>
      </c>
      <c r="D932">
        <v>2</v>
      </c>
      <c r="E932" s="1">
        <v>45312</v>
      </c>
      <c r="F932">
        <v>5</v>
      </c>
      <c r="G932">
        <v>258.42</v>
      </c>
      <c r="H932" t="s">
        <v>8</v>
      </c>
      <c r="I932" cm="1">
        <f t="array" ref="I932">_xlfn.IFS(H932="Credit Card",1,H932="PayPal",2,H932="Cash",3,H932="Bank Transfer",4,TRUE,5)</f>
        <v>4</v>
      </c>
    </row>
    <row r="933" spans="1:9" x14ac:dyDescent="0.3">
      <c r="A933">
        <v>929</v>
      </c>
      <c r="B933">
        <v>199</v>
      </c>
      <c r="C933">
        <v>360</v>
      </c>
      <c r="D933">
        <v>5</v>
      </c>
      <c r="E933" s="1">
        <v>45293</v>
      </c>
      <c r="F933">
        <v>19</v>
      </c>
      <c r="G933">
        <v>1712.47</v>
      </c>
      <c r="H933" t="s">
        <v>11</v>
      </c>
      <c r="I933" cm="1">
        <f t="array" ref="I933">_xlfn.IFS(H933="Credit Card",1,H933="PayPal",2,H933="Cash",3,H933="Bank Transfer",4,TRUE,5)</f>
        <v>2</v>
      </c>
    </row>
    <row r="934" spans="1:9" x14ac:dyDescent="0.3">
      <c r="A934">
        <v>930</v>
      </c>
      <c r="B934">
        <v>958</v>
      </c>
      <c r="C934">
        <v>926</v>
      </c>
      <c r="D934">
        <v>5</v>
      </c>
      <c r="E934" s="1">
        <v>45371</v>
      </c>
      <c r="F934">
        <v>4</v>
      </c>
      <c r="G934">
        <v>493.33</v>
      </c>
      <c r="H934" t="s">
        <v>9</v>
      </c>
      <c r="I934" cm="1">
        <f t="array" ref="I934">_xlfn.IFS(H934="Credit Card",1,H934="PayPal",2,H934="Cash",3,H934="Bank Transfer",4,TRUE,5)</f>
        <v>1</v>
      </c>
    </row>
    <row r="935" spans="1:9" x14ac:dyDescent="0.3">
      <c r="A935">
        <v>931</v>
      </c>
      <c r="B935">
        <v>405</v>
      </c>
      <c r="C935">
        <v>117</v>
      </c>
      <c r="D935">
        <v>5</v>
      </c>
      <c r="E935" s="1">
        <v>45531</v>
      </c>
      <c r="F935">
        <v>16</v>
      </c>
      <c r="G935">
        <v>447.16</v>
      </c>
      <c r="H935" t="s">
        <v>9</v>
      </c>
      <c r="I935" cm="1">
        <f t="array" ref="I935">_xlfn.IFS(H935="Credit Card",1,H935="PayPal",2,H935="Cash",3,H935="Bank Transfer",4,TRUE,5)</f>
        <v>1</v>
      </c>
    </row>
    <row r="936" spans="1:9" x14ac:dyDescent="0.3">
      <c r="A936">
        <v>933</v>
      </c>
      <c r="B936">
        <v>58</v>
      </c>
      <c r="C936">
        <v>492</v>
      </c>
      <c r="D936">
        <v>2</v>
      </c>
      <c r="E936" s="1">
        <v>45329</v>
      </c>
      <c r="F936">
        <v>4</v>
      </c>
      <c r="G936">
        <v>166.23</v>
      </c>
      <c r="H936" t="s">
        <v>11</v>
      </c>
      <c r="I936" cm="1">
        <f t="array" ref="I936">_xlfn.IFS(H936="Credit Card",1,H936="PayPal",2,H936="Cash",3,H936="Bank Transfer",4,TRUE,5)</f>
        <v>2</v>
      </c>
    </row>
    <row r="937" spans="1:9" x14ac:dyDescent="0.3">
      <c r="A937">
        <v>934</v>
      </c>
      <c r="B937">
        <v>520</v>
      </c>
      <c r="C937">
        <v>91</v>
      </c>
      <c r="D937">
        <v>2</v>
      </c>
      <c r="E937" s="1">
        <v>45342</v>
      </c>
      <c r="F937">
        <v>3</v>
      </c>
      <c r="G937">
        <v>1502</v>
      </c>
      <c r="H937" t="s">
        <v>10</v>
      </c>
      <c r="I937" cm="1">
        <f t="array" ref="I937">_xlfn.IFS(H937="Credit Card",1,H937="PayPal",2,H937="Cash",3,H937="Bank Transfer",4,TRUE,5)</f>
        <v>3</v>
      </c>
    </row>
    <row r="938" spans="1:9" x14ac:dyDescent="0.3">
      <c r="A938">
        <v>935</v>
      </c>
      <c r="B938">
        <v>242</v>
      </c>
      <c r="C938">
        <v>393</v>
      </c>
      <c r="D938">
        <v>4</v>
      </c>
      <c r="E938" s="1">
        <v>45630</v>
      </c>
      <c r="F938">
        <v>1</v>
      </c>
      <c r="G938">
        <v>1472.06</v>
      </c>
      <c r="H938" t="s">
        <v>9</v>
      </c>
      <c r="I938" cm="1">
        <f t="array" ref="I938">_xlfn.IFS(H938="Credit Card",1,H938="PayPal",2,H938="Cash",3,H938="Bank Transfer",4,TRUE,5)</f>
        <v>1</v>
      </c>
    </row>
    <row r="939" spans="1:9" x14ac:dyDescent="0.3">
      <c r="A939">
        <v>936</v>
      </c>
      <c r="B939">
        <v>132</v>
      </c>
      <c r="C939">
        <v>660</v>
      </c>
      <c r="D939">
        <v>2</v>
      </c>
      <c r="E939" s="1">
        <v>45358</v>
      </c>
      <c r="F939">
        <v>13</v>
      </c>
      <c r="G939">
        <v>100.27</v>
      </c>
      <c r="H939" t="s">
        <v>11</v>
      </c>
      <c r="I939" cm="1">
        <f t="array" ref="I939">_xlfn.IFS(H939="Credit Card",1,H939="PayPal",2,H939="Cash",3,H939="Bank Transfer",4,TRUE,5)</f>
        <v>2</v>
      </c>
    </row>
    <row r="940" spans="1:9" x14ac:dyDescent="0.3">
      <c r="A940">
        <v>938</v>
      </c>
      <c r="B940">
        <v>968</v>
      </c>
      <c r="C940">
        <v>400</v>
      </c>
      <c r="D940">
        <v>2</v>
      </c>
      <c r="E940" s="1">
        <v>45415</v>
      </c>
      <c r="F940">
        <v>9</v>
      </c>
      <c r="G940">
        <v>1342.92</v>
      </c>
      <c r="H940" t="s">
        <v>11</v>
      </c>
      <c r="I940" cm="1">
        <f t="array" ref="I940">_xlfn.IFS(H940="Credit Card",1,H940="PayPal",2,H940="Cash",3,H940="Bank Transfer",4,TRUE,5)</f>
        <v>2</v>
      </c>
    </row>
    <row r="941" spans="1:9" x14ac:dyDescent="0.3">
      <c r="A941">
        <v>939</v>
      </c>
      <c r="B941">
        <v>175</v>
      </c>
      <c r="C941">
        <v>719</v>
      </c>
      <c r="D941">
        <v>3</v>
      </c>
      <c r="E941" s="1">
        <v>45334</v>
      </c>
      <c r="F941">
        <v>14</v>
      </c>
      <c r="G941">
        <v>1188.3499999999999</v>
      </c>
      <c r="H941" t="s">
        <v>8</v>
      </c>
      <c r="I941" cm="1">
        <f t="array" ref="I941">_xlfn.IFS(H941="Credit Card",1,H941="PayPal",2,H941="Cash",3,H941="Bank Transfer",4,TRUE,5)</f>
        <v>4</v>
      </c>
    </row>
    <row r="942" spans="1:9" x14ac:dyDescent="0.3">
      <c r="A942">
        <v>940</v>
      </c>
      <c r="B942">
        <v>790</v>
      </c>
      <c r="C942">
        <v>823</v>
      </c>
      <c r="D942">
        <v>3</v>
      </c>
      <c r="E942" s="1">
        <v>45551</v>
      </c>
      <c r="F942">
        <v>1</v>
      </c>
      <c r="G942">
        <v>1020.44</v>
      </c>
      <c r="H942" t="s">
        <v>8</v>
      </c>
      <c r="I942" cm="1">
        <f t="array" ref="I942">_xlfn.IFS(H942="Credit Card",1,H942="PayPal",2,H942="Cash",3,H942="Bank Transfer",4,TRUE,5)</f>
        <v>4</v>
      </c>
    </row>
    <row r="943" spans="1:9" x14ac:dyDescent="0.3">
      <c r="A943">
        <v>942</v>
      </c>
      <c r="B943">
        <v>867</v>
      </c>
      <c r="C943">
        <v>617</v>
      </c>
      <c r="D943">
        <v>5</v>
      </c>
      <c r="E943" s="1">
        <v>45465</v>
      </c>
      <c r="F943">
        <v>6</v>
      </c>
      <c r="G943">
        <v>45.39</v>
      </c>
      <c r="H943" t="s">
        <v>10</v>
      </c>
      <c r="I943" cm="1">
        <f t="array" ref="I943">_xlfn.IFS(H943="Credit Card",1,H943="PayPal",2,H943="Cash",3,H943="Bank Transfer",4,TRUE,5)</f>
        <v>3</v>
      </c>
    </row>
    <row r="944" spans="1:9" x14ac:dyDescent="0.3">
      <c r="A944">
        <v>944</v>
      </c>
      <c r="B944">
        <v>141</v>
      </c>
      <c r="C944">
        <v>660</v>
      </c>
      <c r="D944">
        <v>1</v>
      </c>
      <c r="E944" s="1">
        <v>45542</v>
      </c>
      <c r="F944">
        <v>9</v>
      </c>
      <c r="G944">
        <v>1766.14</v>
      </c>
      <c r="H944" t="s">
        <v>10</v>
      </c>
      <c r="I944" cm="1">
        <f t="array" ref="I944">_xlfn.IFS(H944="Credit Card",1,H944="PayPal",2,H944="Cash",3,H944="Bank Transfer",4,TRUE,5)</f>
        <v>3</v>
      </c>
    </row>
    <row r="945" spans="1:9" x14ac:dyDescent="0.3">
      <c r="A945">
        <v>945</v>
      </c>
      <c r="B945">
        <v>47</v>
      </c>
      <c r="C945">
        <v>666</v>
      </c>
      <c r="D945">
        <v>1</v>
      </c>
      <c r="E945" s="1">
        <v>45430</v>
      </c>
      <c r="F945">
        <v>3</v>
      </c>
      <c r="G945">
        <v>407.29</v>
      </c>
      <c r="H945" t="s">
        <v>11</v>
      </c>
      <c r="I945" cm="1">
        <f t="array" ref="I945">_xlfn.IFS(H945="Credit Card",1,H945="PayPal",2,H945="Cash",3,H945="Bank Transfer",4,TRUE,5)</f>
        <v>2</v>
      </c>
    </row>
    <row r="946" spans="1:9" x14ac:dyDescent="0.3">
      <c r="A946">
        <v>946</v>
      </c>
      <c r="B946">
        <v>396</v>
      </c>
      <c r="C946">
        <v>278</v>
      </c>
      <c r="D946">
        <v>1</v>
      </c>
      <c r="E946" s="1">
        <v>45399</v>
      </c>
      <c r="F946">
        <v>15</v>
      </c>
      <c r="G946">
        <v>760.42</v>
      </c>
      <c r="H946" t="s">
        <v>8</v>
      </c>
      <c r="I946" cm="1">
        <f t="array" ref="I946">_xlfn.IFS(H946="Credit Card",1,H946="PayPal",2,H946="Cash",3,H946="Bank Transfer",4,TRUE,5)</f>
        <v>4</v>
      </c>
    </row>
    <row r="947" spans="1:9" x14ac:dyDescent="0.3">
      <c r="A947">
        <v>947</v>
      </c>
      <c r="B947">
        <v>878</v>
      </c>
      <c r="C947">
        <v>785</v>
      </c>
      <c r="D947">
        <v>3</v>
      </c>
      <c r="E947" s="1">
        <v>45445</v>
      </c>
      <c r="F947">
        <v>3</v>
      </c>
      <c r="G947">
        <v>54.66</v>
      </c>
      <c r="H947" t="s">
        <v>9</v>
      </c>
      <c r="I947" cm="1">
        <f t="array" ref="I947">_xlfn.IFS(H947="Credit Card",1,H947="PayPal",2,H947="Cash",3,H947="Bank Transfer",4,TRUE,5)</f>
        <v>1</v>
      </c>
    </row>
    <row r="948" spans="1:9" x14ac:dyDescent="0.3">
      <c r="A948">
        <v>948</v>
      </c>
      <c r="B948">
        <v>554</v>
      </c>
      <c r="C948">
        <v>676</v>
      </c>
      <c r="D948">
        <v>3</v>
      </c>
      <c r="E948" s="1">
        <v>45369</v>
      </c>
      <c r="F948">
        <v>17</v>
      </c>
      <c r="G948">
        <v>662.92</v>
      </c>
      <c r="H948" t="s">
        <v>10</v>
      </c>
      <c r="I948" cm="1">
        <f t="array" ref="I948">_xlfn.IFS(H948="Credit Card",1,H948="PayPal",2,H948="Cash",3,H948="Bank Transfer",4,TRUE,5)</f>
        <v>3</v>
      </c>
    </row>
    <row r="949" spans="1:9" x14ac:dyDescent="0.3">
      <c r="A949">
        <v>949</v>
      </c>
      <c r="B949">
        <v>968</v>
      </c>
      <c r="C949">
        <v>483</v>
      </c>
      <c r="D949">
        <v>1</v>
      </c>
      <c r="E949" s="1">
        <v>45502</v>
      </c>
      <c r="F949">
        <v>20</v>
      </c>
      <c r="G949">
        <v>1234.6199999999999</v>
      </c>
      <c r="H949" t="s">
        <v>11</v>
      </c>
      <c r="I949" cm="1">
        <f t="array" ref="I949">_xlfn.IFS(H949="Credit Card",1,H949="PayPal",2,H949="Cash",3,H949="Bank Transfer",4,TRUE,5)</f>
        <v>2</v>
      </c>
    </row>
    <row r="950" spans="1:9" x14ac:dyDescent="0.3">
      <c r="A950">
        <v>950</v>
      </c>
      <c r="B950">
        <v>909</v>
      </c>
      <c r="C950">
        <v>840</v>
      </c>
      <c r="D950">
        <v>1</v>
      </c>
      <c r="E950" s="1">
        <v>45565</v>
      </c>
      <c r="F950">
        <v>13</v>
      </c>
      <c r="G950">
        <v>627.02</v>
      </c>
      <c r="H950" t="s">
        <v>11</v>
      </c>
      <c r="I950" cm="1">
        <f t="array" ref="I950">_xlfn.IFS(H950="Credit Card",1,H950="PayPal",2,H950="Cash",3,H950="Bank Transfer",4,TRUE,5)</f>
        <v>2</v>
      </c>
    </row>
    <row r="951" spans="1:9" x14ac:dyDescent="0.3">
      <c r="A951">
        <v>951</v>
      </c>
      <c r="B951">
        <v>668</v>
      </c>
      <c r="C951">
        <v>261</v>
      </c>
      <c r="D951">
        <v>1</v>
      </c>
      <c r="E951" s="1">
        <v>45566</v>
      </c>
      <c r="F951">
        <v>2</v>
      </c>
      <c r="G951">
        <v>1869.42</v>
      </c>
      <c r="H951" t="s">
        <v>8</v>
      </c>
      <c r="I951" cm="1">
        <f t="array" ref="I951">_xlfn.IFS(H951="Credit Card",1,H951="PayPal",2,H951="Cash",3,H951="Bank Transfer",4,TRUE,5)</f>
        <v>4</v>
      </c>
    </row>
    <row r="952" spans="1:9" x14ac:dyDescent="0.3">
      <c r="A952">
        <v>952</v>
      </c>
      <c r="B952">
        <v>111</v>
      </c>
      <c r="C952">
        <v>324</v>
      </c>
      <c r="D952">
        <v>4</v>
      </c>
      <c r="E952" s="1">
        <v>45558</v>
      </c>
      <c r="F952">
        <v>12</v>
      </c>
      <c r="G952">
        <v>231.6</v>
      </c>
      <c r="H952" t="s">
        <v>11</v>
      </c>
      <c r="I952" cm="1">
        <f t="array" ref="I952">_xlfn.IFS(H952="Credit Card",1,H952="PayPal",2,H952="Cash",3,H952="Bank Transfer",4,TRUE,5)</f>
        <v>2</v>
      </c>
    </row>
    <row r="953" spans="1:9" x14ac:dyDescent="0.3">
      <c r="A953">
        <v>953</v>
      </c>
      <c r="B953">
        <v>37</v>
      </c>
      <c r="C953">
        <v>188</v>
      </c>
      <c r="D953">
        <v>3</v>
      </c>
      <c r="E953" s="1">
        <v>45457</v>
      </c>
      <c r="F953">
        <v>16</v>
      </c>
      <c r="G953">
        <v>1416.51</v>
      </c>
      <c r="H953" t="s">
        <v>9</v>
      </c>
      <c r="I953" cm="1">
        <f t="array" ref="I953">_xlfn.IFS(H953="Credit Card",1,H953="PayPal",2,H953="Cash",3,H953="Bank Transfer",4,TRUE,5)</f>
        <v>1</v>
      </c>
    </row>
    <row r="954" spans="1:9" x14ac:dyDescent="0.3">
      <c r="A954">
        <v>954</v>
      </c>
      <c r="B954">
        <v>205</v>
      </c>
      <c r="C954">
        <v>327</v>
      </c>
      <c r="D954">
        <v>5</v>
      </c>
      <c r="E954" s="1">
        <v>45456</v>
      </c>
      <c r="F954">
        <v>15</v>
      </c>
      <c r="G954">
        <v>1304.9100000000001</v>
      </c>
      <c r="H954" t="s">
        <v>10</v>
      </c>
      <c r="I954" cm="1">
        <f t="array" ref="I954">_xlfn.IFS(H954="Credit Card",1,H954="PayPal",2,H954="Cash",3,H954="Bank Transfer",4,TRUE,5)</f>
        <v>3</v>
      </c>
    </row>
    <row r="955" spans="1:9" x14ac:dyDescent="0.3">
      <c r="A955">
        <v>955</v>
      </c>
      <c r="B955">
        <v>925</v>
      </c>
      <c r="C955">
        <v>934</v>
      </c>
      <c r="D955">
        <v>5</v>
      </c>
      <c r="E955" s="1">
        <v>45458</v>
      </c>
      <c r="F955">
        <v>16</v>
      </c>
      <c r="G955">
        <v>1971.62</v>
      </c>
      <c r="H955" t="s">
        <v>8</v>
      </c>
      <c r="I955" cm="1">
        <f t="array" ref="I955">_xlfn.IFS(H955="Credit Card",1,H955="PayPal",2,H955="Cash",3,H955="Bank Transfer",4,TRUE,5)</f>
        <v>4</v>
      </c>
    </row>
    <row r="956" spans="1:9" x14ac:dyDescent="0.3">
      <c r="A956">
        <v>956</v>
      </c>
      <c r="B956">
        <v>677</v>
      </c>
      <c r="C956">
        <v>332</v>
      </c>
      <c r="D956">
        <v>2</v>
      </c>
      <c r="E956" s="1">
        <v>45428</v>
      </c>
      <c r="F956">
        <v>20</v>
      </c>
      <c r="G956">
        <v>1959.47</v>
      </c>
      <c r="H956" t="s">
        <v>9</v>
      </c>
      <c r="I956" cm="1">
        <f t="array" ref="I956">_xlfn.IFS(H956="Credit Card",1,H956="PayPal",2,H956="Cash",3,H956="Bank Transfer",4,TRUE,5)</f>
        <v>1</v>
      </c>
    </row>
    <row r="957" spans="1:9" x14ac:dyDescent="0.3">
      <c r="A957">
        <v>957</v>
      </c>
      <c r="B957">
        <v>680</v>
      </c>
      <c r="C957">
        <v>571</v>
      </c>
      <c r="D957">
        <v>1</v>
      </c>
      <c r="E957" s="1">
        <v>45574</v>
      </c>
      <c r="F957">
        <v>17</v>
      </c>
      <c r="G957">
        <v>433.31</v>
      </c>
      <c r="H957" t="s">
        <v>11</v>
      </c>
      <c r="I957" cm="1">
        <f t="array" ref="I957">_xlfn.IFS(H957="Credit Card",1,H957="PayPal",2,H957="Cash",3,H957="Bank Transfer",4,TRUE,5)</f>
        <v>2</v>
      </c>
    </row>
    <row r="958" spans="1:9" x14ac:dyDescent="0.3">
      <c r="A958">
        <v>958</v>
      </c>
      <c r="B958">
        <v>759</v>
      </c>
      <c r="C958">
        <v>258</v>
      </c>
      <c r="D958">
        <v>2</v>
      </c>
      <c r="E958" s="1">
        <v>45396</v>
      </c>
      <c r="F958">
        <v>4</v>
      </c>
      <c r="G958">
        <v>1542.18</v>
      </c>
      <c r="H958" t="s">
        <v>11</v>
      </c>
      <c r="I958" cm="1">
        <f t="array" ref="I958">_xlfn.IFS(H958="Credit Card",1,H958="PayPal",2,H958="Cash",3,H958="Bank Transfer",4,TRUE,5)</f>
        <v>2</v>
      </c>
    </row>
    <row r="959" spans="1:9" x14ac:dyDescent="0.3">
      <c r="A959">
        <v>959</v>
      </c>
      <c r="B959">
        <v>714</v>
      </c>
      <c r="C959">
        <v>813</v>
      </c>
      <c r="D959">
        <v>1</v>
      </c>
      <c r="E959" s="1">
        <v>45426</v>
      </c>
      <c r="F959">
        <v>14</v>
      </c>
      <c r="G959">
        <v>843.77</v>
      </c>
      <c r="H959" t="s">
        <v>10</v>
      </c>
      <c r="I959" cm="1">
        <f t="array" ref="I959">_xlfn.IFS(H959="Credit Card",1,H959="PayPal",2,H959="Cash",3,H959="Bank Transfer",4,TRUE,5)</f>
        <v>3</v>
      </c>
    </row>
    <row r="960" spans="1:9" x14ac:dyDescent="0.3">
      <c r="A960">
        <v>960</v>
      </c>
      <c r="B960">
        <v>435</v>
      </c>
      <c r="C960">
        <v>324</v>
      </c>
      <c r="D960">
        <v>3</v>
      </c>
      <c r="E960" s="1">
        <v>45454</v>
      </c>
      <c r="F960">
        <v>9</v>
      </c>
      <c r="G960">
        <v>1963.44</v>
      </c>
      <c r="H960" t="s">
        <v>11</v>
      </c>
      <c r="I960" cm="1">
        <f t="array" ref="I960">_xlfn.IFS(H960="Credit Card",1,H960="PayPal",2,H960="Cash",3,H960="Bank Transfer",4,TRUE,5)</f>
        <v>2</v>
      </c>
    </row>
    <row r="961" spans="1:9" x14ac:dyDescent="0.3">
      <c r="A961">
        <v>961</v>
      </c>
      <c r="B961">
        <v>571</v>
      </c>
      <c r="C961">
        <v>662</v>
      </c>
      <c r="D961">
        <v>2</v>
      </c>
      <c r="E961" s="1">
        <v>45361</v>
      </c>
      <c r="F961">
        <v>17</v>
      </c>
      <c r="G961">
        <v>1265.07</v>
      </c>
      <c r="H961" t="s">
        <v>10</v>
      </c>
      <c r="I961" cm="1">
        <f t="array" ref="I961">_xlfn.IFS(H961="Credit Card",1,H961="PayPal",2,H961="Cash",3,H961="Bank Transfer",4,TRUE,5)</f>
        <v>3</v>
      </c>
    </row>
    <row r="962" spans="1:9" x14ac:dyDescent="0.3">
      <c r="A962">
        <v>962</v>
      </c>
      <c r="B962">
        <v>259</v>
      </c>
      <c r="C962">
        <v>869</v>
      </c>
      <c r="D962">
        <v>5</v>
      </c>
      <c r="E962" s="1">
        <v>45304</v>
      </c>
      <c r="F962">
        <v>6</v>
      </c>
      <c r="G962">
        <v>465.62</v>
      </c>
      <c r="H962" t="s">
        <v>8</v>
      </c>
      <c r="I962" cm="1">
        <f t="array" ref="I962">_xlfn.IFS(H962="Credit Card",1,H962="PayPal",2,H962="Cash",3,H962="Bank Transfer",4,TRUE,5)</f>
        <v>4</v>
      </c>
    </row>
    <row r="963" spans="1:9" x14ac:dyDescent="0.3">
      <c r="A963">
        <v>963</v>
      </c>
      <c r="B963">
        <v>696</v>
      </c>
      <c r="C963">
        <v>890</v>
      </c>
      <c r="D963">
        <v>2</v>
      </c>
      <c r="E963" s="1">
        <v>45514</v>
      </c>
      <c r="F963">
        <v>14</v>
      </c>
      <c r="G963">
        <v>581.46</v>
      </c>
      <c r="H963" t="s">
        <v>11</v>
      </c>
      <c r="I963" cm="1">
        <f t="array" ref="I963">_xlfn.IFS(H963="Credit Card",1,H963="PayPal",2,H963="Cash",3,H963="Bank Transfer",4,TRUE,5)</f>
        <v>2</v>
      </c>
    </row>
    <row r="964" spans="1:9" x14ac:dyDescent="0.3">
      <c r="A964">
        <v>965</v>
      </c>
      <c r="B964">
        <v>232</v>
      </c>
      <c r="C964">
        <v>673</v>
      </c>
      <c r="D964">
        <v>5</v>
      </c>
      <c r="E964" s="1">
        <v>45464</v>
      </c>
      <c r="F964">
        <v>10</v>
      </c>
      <c r="G964">
        <v>668.92</v>
      </c>
      <c r="H964" t="s">
        <v>8</v>
      </c>
      <c r="I964" cm="1">
        <f t="array" ref="I964">_xlfn.IFS(H964="Credit Card",1,H964="PayPal",2,H964="Cash",3,H964="Bank Transfer",4,TRUE,5)</f>
        <v>4</v>
      </c>
    </row>
    <row r="965" spans="1:9" x14ac:dyDescent="0.3">
      <c r="A965">
        <v>966</v>
      </c>
      <c r="B965">
        <v>219</v>
      </c>
      <c r="C965">
        <v>743</v>
      </c>
      <c r="D965">
        <v>2</v>
      </c>
      <c r="E965" s="1">
        <v>45610</v>
      </c>
      <c r="F965">
        <v>11</v>
      </c>
      <c r="G965">
        <v>1439.57</v>
      </c>
      <c r="H965" t="s">
        <v>11</v>
      </c>
      <c r="I965" cm="1">
        <f t="array" ref="I965">_xlfn.IFS(H965="Credit Card",1,H965="PayPal",2,H965="Cash",3,H965="Bank Transfer",4,TRUE,5)</f>
        <v>2</v>
      </c>
    </row>
    <row r="966" spans="1:9" x14ac:dyDescent="0.3">
      <c r="A966">
        <v>967</v>
      </c>
      <c r="B966">
        <v>525</v>
      </c>
      <c r="C966">
        <v>279</v>
      </c>
      <c r="D966">
        <v>1</v>
      </c>
      <c r="E966" s="1">
        <v>45353</v>
      </c>
      <c r="F966">
        <v>20</v>
      </c>
      <c r="G966">
        <v>1442.24</v>
      </c>
      <c r="H966" t="s">
        <v>11</v>
      </c>
      <c r="I966" cm="1">
        <f t="array" ref="I966">_xlfn.IFS(H966="Credit Card",1,H966="PayPal",2,H966="Cash",3,H966="Bank Transfer",4,TRUE,5)</f>
        <v>2</v>
      </c>
    </row>
    <row r="967" spans="1:9" x14ac:dyDescent="0.3">
      <c r="A967">
        <v>968</v>
      </c>
      <c r="B967">
        <v>39</v>
      </c>
      <c r="C967">
        <v>32</v>
      </c>
      <c r="D967">
        <v>3</v>
      </c>
      <c r="E967" s="1">
        <v>45418</v>
      </c>
      <c r="F967">
        <v>16</v>
      </c>
      <c r="G967">
        <v>406.49</v>
      </c>
      <c r="H967" t="s">
        <v>8</v>
      </c>
      <c r="I967" cm="1">
        <f t="array" ref="I967">_xlfn.IFS(H967="Credit Card",1,H967="PayPal",2,H967="Cash",3,H967="Bank Transfer",4,TRUE,5)</f>
        <v>4</v>
      </c>
    </row>
    <row r="968" spans="1:9" x14ac:dyDescent="0.3">
      <c r="A968">
        <v>969</v>
      </c>
      <c r="B968">
        <v>638</v>
      </c>
      <c r="C968">
        <v>241</v>
      </c>
      <c r="D968">
        <v>2</v>
      </c>
      <c r="E968" s="1">
        <v>45370</v>
      </c>
      <c r="F968">
        <v>1</v>
      </c>
      <c r="G968">
        <v>585.16999999999996</v>
      </c>
      <c r="H968" t="s">
        <v>9</v>
      </c>
      <c r="I968" cm="1">
        <f t="array" ref="I968">_xlfn.IFS(H968="Credit Card",1,H968="PayPal",2,H968="Cash",3,H968="Bank Transfer",4,TRUE,5)</f>
        <v>1</v>
      </c>
    </row>
    <row r="969" spans="1:9" x14ac:dyDescent="0.3">
      <c r="A969">
        <v>970</v>
      </c>
      <c r="B969">
        <v>516</v>
      </c>
      <c r="C969">
        <v>463</v>
      </c>
      <c r="D969">
        <v>1</v>
      </c>
      <c r="E969" s="1">
        <v>45412</v>
      </c>
      <c r="F969">
        <v>13</v>
      </c>
      <c r="G969">
        <v>63.64</v>
      </c>
      <c r="H969" t="s">
        <v>9</v>
      </c>
      <c r="I969" cm="1">
        <f t="array" ref="I969">_xlfn.IFS(H969="Credit Card",1,H969="PayPal",2,H969="Cash",3,H969="Bank Transfer",4,TRUE,5)</f>
        <v>1</v>
      </c>
    </row>
    <row r="970" spans="1:9" x14ac:dyDescent="0.3">
      <c r="A970">
        <v>971</v>
      </c>
      <c r="B970">
        <v>509</v>
      </c>
      <c r="C970">
        <v>807</v>
      </c>
      <c r="D970">
        <v>1</v>
      </c>
      <c r="E970" s="1">
        <v>45612</v>
      </c>
      <c r="F970">
        <v>6</v>
      </c>
      <c r="G970">
        <v>1799.86</v>
      </c>
      <c r="H970" t="s">
        <v>8</v>
      </c>
      <c r="I970" cm="1">
        <f t="array" ref="I970">_xlfn.IFS(H970="Credit Card",1,H970="PayPal",2,H970="Cash",3,H970="Bank Transfer",4,TRUE,5)</f>
        <v>4</v>
      </c>
    </row>
    <row r="971" spans="1:9" x14ac:dyDescent="0.3">
      <c r="A971">
        <v>972</v>
      </c>
      <c r="B971">
        <v>520</v>
      </c>
      <c r="C971">
        <v>848</v>
      </c>
      <c r="D971">
        <v>2</v>
      </c>
      <c r="E971" s="1">
        <v>45329</v>
      </c>
      <c r="F971">
        <v>17</v>
      </c>
      <c r="G971">
        <v>342.26</v>
      </c>
      <c r="H971" t="s">
        <v>9</v>
      </c>
      <c r="I971" cm="1">
        <f t="array" ref="I971">_xlfn.IFS(H971="Credit Card",1,H971="PayPal",2,H971="Cash",3,H971="Bank Transfer",4,TRUE,5)</f>
        <v>1</v>
      </c>
    </row>
    <row r="972" spans="1:9" x14ac:dyDescent="0.3">
      <c r="A972">
        <v>973</v>
      </c>
      <c r="B972">
        <v>284</v>
      </c>
      <c r="C972">
        <v>745</v>
      </c>
      <c r="D972">
        <v>3</v>
      </c>
      <c r="E972" s="1">
        <v>45496</v>
      </c>
      <c r="F972">
        <v>7</v>
      </c>
      <c r="G972">
        <v>678.84</v>
      </c>
      <c r="H972" t="s">
        <v>11</v>
      </c>
      <c r="I972" cm="1">
        <f t="array" ref="I972">_xlfn.IFS(H972="Credit Card",1,H972="PayPal",2,H972="Cash",3,H972="Bank Transfer",4,TRUE,5)</f>
        <v>2</v>
      </c>
    </row>
    <row r="973" spans="1:9" x14ac:dyDescent="0.3">
      <c r="A973">
        <v>974</v>
      </c>
      <c r="B973">
        <v>836</v>
      </c>
      <c r="C973">
        <v>844</v>
      </c>
      <c r="D973">
        <v>2</v>
      </c>
      <c r="E973" s="1">
        <v>45378</v>
      </c>
      <c r="F973">
        <v>8</v>
      </c>
      <c r="G973">
        <v>1751</v>
      </c>
      <c r="H973" t="s">
        <v>8</v>
      </c>
      <c r="I973" cm="1">
        <f t="array" ref="I973">_xlfn.IFS(H973="Credit Card",1,H973="PayPal",2,H973="Cash",3,H973="Bank Transfer",4,TRUE,5)</f>
        <v>4</v>
      </c>
    </row>
    <row r="974" spans="1:9" x14ac:dyDescent="0.3">
      <c r="A974">
        <v>975</v>
      </c>
      <c r="B974">
        <v>818</v>
      </c>
      <c r="C974">
        <v>775</v>
      </c>
      <c r="D974">
        <v>4</v>
      </c>
      <c r="E974" s="1">
        <v>45328</v>
      </c>
      <c r="F974">
        <v>9</v>
      </c>
      <c r="G974">
        <v>1171.95</v>
      </c>
      <c r="H974" t="s">
        <v>10</v>
      </c>
      <c r="I974" cm="1">
        <f t="array" ref="I974">_xlfn.IFS(H974="Credit Card",1,H974="PayPal",2,H974="Cash",3,H974="Bank Transfer",4,TRUE,5)</f>
        <v>3</v>
      </c>
    </row>
    <row r="975" spans="1:9" x14ac:dyDescent="0.3">
      <c r="A975">
        <v>976</v>
      </c>
      <c r="B975">
        <v>813</v>
      </c>
      <c r="C975">
        <v>877</v>
      </c>
      <c r="D975">
        <v>2</v>
      </c>
      <c r="E975" s="1">
        <v>45330</v>
      </c>
      <c r="F975">
        <v>20</v>
      </c>
      <c r="G975">
        <v>500.75</v>
      </c>
      <c r="H975" t="s">
        <v>9</v>
      </c>
      <c r="I975" cm="1">
        <f t="array" ref="I975">_xlfn.IFS(H975="Credit Card",1,H975="PayPal",2,H975="Cash",3,H975="Bank Transfer",4,TRUE,5)</f>
        <v>1</v>
      </c>
    </row>
    <row r="976" spans="1:9" x14ac:dyDescent="0.3">
      <c r="A976">
        <v>977</v>
      </c>
      <c r="B976">
        <v>491</v>
      </c>
      <c r="C976">
        <v>280</v>
      </c>
      <c r="D976">
        <v>4</v>
      </c>
      <c r="E976" s="1">
        <v>45507</v>
      </c>
      <c r="F976">
        <v>7</v>
      </c>
      <c r="G976">
        <v>617.29999999999995</v>
      </c>
      <c r="H976" t="s">
        <v>8</v>
      </c>
      <c r="I976" cm="1">
        <f t="array" ref="I976">_xlfn.IFS(H976="Credit Card",1,H976="PayPal",2,H976="Cash",3,H976="Bank Transfer",4,TRUE,5)</f>
        <v>4</v>
      </c>
    </row>
    <row r="977" spans="1:9" x14ac:dyDescent="0.3">
      <c r="A977">
        <v>979</v>
      </c>
      <c r="B977">
        <v>445</v>
      </c>
      <c r="C977">
        <v>859</v>
      </c>
      <c r="D977">
        <v>4</v>
      </c>
      <c r="E977" s="1">
        <v>45335</v>
      </c>
      <c r="F977">
        <v>18</v>
      </c>
      <c r="G977">
        <v>812.58</v>
      </c>
      <c r="H977" t="s">
        <v>11</v>
      </c>
      <c r="I977" cm="1">
        <f t="array" ref="I977">_xlfn.IFS(H977="Credit Card",1,H977="PayPal",2,H977="Cash",3,H977="Bank Transfer",4,TRUE,5)</f>
        <v>2</v>
      </c>
    </row>
    <row r="978" spans="1:9" x14ac:dyDescent="0.3">
      <c r="A978">
        <v>981</v>
      </c>
      <c r="B978">
        <v>206</v>
      </c>
      <c r="C978">
        <v>689</v>
      </c>
      <c r="D978">
        <v>5</v>
      </c>
      <c r="E978" s="1">
        <v>45410</v>
      </c>
      <c r="F978">
        <v>13</v>
      </c>
      <c r="G978">
        <v>1409.26</v>
      </c>
      <c r="H978" t="s">
        <v>10</v>
      </c>
      <c r="I978" cm="1">
        <f t="array" ref="I978">_xlfn.IFS(H978="Credit Card",1,H978="PayPal",2,H978="Cash",3,H978="Bank Transfer",4,TRUE,5)</f>
        <v>3</v>
      </c>
    </row>
    <row r="979" spans="1:9" x14ac:dyDescent="0.3">
      <c r="A979">
        <v>982</v>
      </c>
      <c r="B979">
        <v>843</v>
      </c>
      <c r="C979">
        <v>663</v>
      </c>
      <c r="D979">
        <v>5</v>
      </c>
      <c r="E979" s="1">
        <v>45465</v>
      </c>
      <c r="F979">
        <v>7</v>
      </c>
      <c r="G979">
        <v>532.30999999999995</v>
      </c>
      <c r="H979" t="s">
        <v>10</v>
      </c>
      <c r="I979" cm="1">
        <f t="array" ref="I979">_xlfn.IFS(H979="Credit Card",1,H979="PayPal",2,H979="Cash",3,H979="Bank Transfer",4,TRUE,5)</f>
        <v>3</v>
      </c>
    </row>
    <row r="980" spans="1:9" x14ac:dyDescent="0.3">
      <c r="A980">
        <v>983</v>
      </c>
      <c r="B980">
        <v>955</v>
      </c>
      <c r="C980">
        <v>587</v>
      </c>
      <c r="D980">
        <v>3</v>
      </c>
      <c r="E980" s="1">
        <v>45317</v>
      </c>
      <c r="F980">
        <v>12</v>
      </c>
      <c r="G980">
        <v>995.93</v>
      </c>
      <c r="H980" t="s">
        <v>8</v>
      </c>
      <c r="I980" cm="1">
        <f t="array" ref="I980">_xlfn.IFS(H980="Credit Card",1,H980="PayPal",2,H980="Cash",3,H980="Bank Transfer",4,TRUE,5)</f>
        <v>4</v>
      </c>
    </row>
    <row r="981" spans="1:9" x14ac:dyDescent="0.3">
      <c r="A981">
        <v>984</v>
      </c>
      <c r="B981">
        <v>855</v>
      </c>
      <c r="C981">
        <v>735</v>
      </c>
      <c r="D981">
        <v>3</v>
      </c>
      <c r="E981" s="1">
        <v>45360</v>
      </c>
      <c r="F981">
        <v>12</v>
      </c>
      <c r="G981">
        <v>1341.3</v>
      </c>
      <c r="H981" t="s">
        <v>10</v>
      </c>
      <c r="I981" cm="1">
        <f t="array" ref="I981">_xlfn.IFS(H981="Credit Card",1,H981="PayPal",2,H981="Cash",3,H981="Bank Transfer",4,TRUE,5)</f>
        <v>3</v>
      </c>
    </row>
    <row r="982" spans="1:9" x14ac:dyDescent="0.3">
      <c r="A982">
        <v>985</v>
      </c>
      <c r="B982">
        <v>548</v>
      </c>
      <c r="C982">
        <v>326</v>
      </c>
      <c r="D982">
        <v>5</v>
      </c>
      <c r="E982" s="1">
        <v>45459</v>
      </c>
      <c r="F982">
        <v>12</v>
      </c>
      <c r="G982">
        <v>944.12</v>
      </c>
      <c r="H982" t="s">
        <v>11</v>
      </c>
      <c r="I982" cm="1">
        <f t="array" ref="I982">_xlfn.IFS(H982="Credit Card",1,H982="PayPal",2,H982="Cash",3,H982="Bank Transfer",4,TRUE,5)</f>
        <v>2</v>
      </c>
    </row>
    <row r="983" spans="1:9" x14ac:dyDescent="0.3">
      <c r="A983">
        <v>986</v>
      </c>
      <c r="B983">
        <v>134</v>
      </c>
      <c r="C983">
        <v>402</v>
      </c>
      <c r="D983">
        <v>5</v>
      </c>
      <c r="E983" s="1">
        <v>45447</v>
      </c>
      <c r="F983">
        <v>17</v>
      </c>
      <c r="G983">
        <v>754.27</v>
      </c>
      <c r="H983" t="s">
        <v>11</v>
      </c>
      <c r="I983" cm="1">
        <f t="array" ref="I983">_xlfn.IFS(H983="Credit Card",1,H983="PayPal",2,H983="Cash",3,H983="Bank Transfer",4,TRUE,5)</f>
        <v>2</v>
      </c>
    </row>
    <row r="984" spans="1:9" x14ac:dyDescent="0.3">
      <c r="A984">
        <v>987</v>
      </c>
      <c r="B984">
        <v>728</v>
      </c>
      <c r="C984">
        <v>691</v>
      </c>
      <c r="D984">
        <v>4</v>
      </c>
      <c r="E984" s="1">
        <v>45606</v>
      </c>
      <c r="F984">
        <v>2</v>
      </c>
      <c r="G984">
        <v>1794.12</v>
      </c>
      <c r="H984" t="s">
        <v>11</v>
      </c>
      <c r="I984" cm="1">
        <f t="array" ref="I984">_xlfn.IFS(H984="Credit Card",1,H984="PayPal",2,H984="Cash",3,H984="Bank Transfer",4,TRUE,5)</f>
        <v>2</v>
      </c>
    </row>
    <row r="985" spans="1:9" x14ac:dyDescent="0.3">
      <c r="A985">
        <v>988</v>
      </c>
      <c r="B985">
        <v>838</v>
      </c>
      <c r="C985">
        <v>81</v>
      </c>
      <c r="D985">
        <v>3</v>
      </c>
      <c r="E985" s="1">
        <v>45300</v>
      </c>
      <c r="F985">
        <v>18</v>
      </c>
      <c r="G985">
        <v>1978.39</v>
      </c>
      <c r="H985" t="s">
        <v>8</v>
      </c>
      <c r="I985" cm="1">
        <f t="array" ref="I985">_xlfn.IFS(H985="Credit Card",1,H985="PayPal",2,H985="Cash",3,H985="Bank Transfer",4,TRUE,5)</f>
        <v>4</v>
      </c>
    </row>
    <row r="986" spans="1:9" x14ac:dyDescent="0.3">
      <c r="A986">
        <v>989</v>
      </c>
      <c r="B986">
        <v>69</v>
      </c>
      <c r="C986">
        <v>216</v>
      </c>
      <c r="D986">
        <v>4</v>
      </c>
      <c r="E986" s="1">
        <v>45615</v>
      </c>
      <c r="F986">
        <v>10</v>
      </c>
      <c r="G986">
        <v>1483.58</v>
      </c>
      <c r="H986" t="s">
        <v>11</v>
      </c>
      <c r="I986" cm="1">
        <f t="array" ref="I986">_xlfn.IFS(H986="Credit Card",1,H986="PayPal",2,H986="Cash",3,H986="Bank Transfer",4,TRUE,5)</f>
        <v>2</v>
      </c>
    </row>
    <row r="987" spans="1:9" x14ac:dyDescent="0.3">
      <c r="A987">
        <v>990</v>
      </c>
      <c r="B987">
        <v>136</v>
      </c>
      <c r="C987">
        <v>138</v>
      </c>
      <c r="D987">
        <v>4</v>
      </c>
      <c r="E987" s="1">
        <v>45554</v>
      </c>
      <c r="F987">
        <v>4</v>
      </c>
      <c r="G987">
        <v>1741.89</v>
      </c>
      <c r="H987" t="s">
        <v>10</v>
      </c>
      <c r="I987" cm="1">
        <f t="array" ref="I987">_xlfn.IFS(H987="Credit Card",1,H987="PayPal",2,H987="Cash",3,H987="Bank Transfer",4,TRUE,5)</f>
        <v>3</v>
      </c>
    </row>
    <row r="988" spans="1:9" x14ac:dyDescent="0.3">
      <c r="A988">
        <v>991</v>
      </c>
      <c r="B988">
        <v>728</v>
      </c>
      <c r="C988">
        <v>740</v>
      </c>
      <c r="D988">
        <v>4</v>
      </c>
      <c r="E988" s="1">
        <v>45462</v>
      </c>
      <c r="F988">
        <v>11</v>
      </c>
      <c r="G988">
        <v>813.94</v>
      </c>
      <c r="H988" t="s">
        <v>9</v>
      </c>
      <c r="I988" cm="1">
        <f t="array" ref="I988">_xlfn.IFS(H988="Credit Card",1,H988="PayPal",2,H988="Cash",3,H988="Bank Transfer",4,TRUE,5)</f>
        <v>1</v>
      </c>
    </row>
    <row r="989" spans="1:9" x14ac:dyDescent="0.3">
      <c r="A989">
        <v>992</v>
      </c>
      <c r="B989">
        <v>403</v>
      </c>
      <c r="C989">
        <v>712</v>
      </c>
      <c r="D989">
        <v>1</v>
      </c>
      <c r="E989" s="1">
        <v>45471</v>
      </c>
      <c r="F989">
        <v>15</v>
      </c>
      <c r="G989">
        <v>153.78</v>
      </c>
      <c r="H989" t="s">
        <v>11</v>
      </c>
      <c r="I989" cm="1">
        <f t="array" ref="I989">_xlfn.IFS(H989="Credit Card",1,H989="PayPal",2,H989="Cash",3,H989="Bank Transfer",4,TRUE,5)</f>
        <v>2</v>
      </c>
    </row>
    <row r="990" spans="1:9" x14ac:dyDescent="0.3">
      <c r="A990">
        <v>993</v>
      </c>
      <c r="B990">
        <v>42</v>
      </c>
      <c r="C990">
        <v>617</v>
      </c>
      <c r="D990">
        <v>1</v>
      </c>
      <c r="E990" s="1">
        <v>45418</v>
      </c>
      <c r="F990">
        <v>10</v>
      </c>
      <c r="G990">
        <v>655.32000000000005</v>
      </c>
      <c r="H990" t="s">
        <v>9</v>
      </c>
      <c r="I990" cm="1">
        <f t="array" ref="I990">_xlfn.IFS(H990="Credit Card",1,H990="PayPal",2,H990="Cash",3,H990="Bank Transfer",4,TRUE,5)</f>
        <v>1</v>
      </c>
    </row>
    <row r="991" spans="1:9" x14ac:dyDescent="0.3">
      <c r="A991">
        <v>994</v>
      </c>
      <c r="B991">
        <v>233</v>
      </c>
      <c r="C991">
        <v>119</v>
      </c>
      <c r="D991">
        <v>2</v>
      </c>
      <c r="E991" s="1">
        <v>45557</v>
      </c>
      <c r="F991">
        <v>11</v>
      </c>
      <c r="G991">
        <v>1237.95</v>
      </c>
      <c r="H991" t="s">
        <v>10</v>
      </c>
      <c r="I991" cm="1">
        <f t="array" ref="I991">_xlfn.IFS(H991="Credit Card",1,H991="PayPal",2,H991="Cash",3,H991="Bank Transfer",4,TRUE,5)</f>
        <v>3</v>
      </c>
    </row>
    <row r="992" spans="1:9" x14ac:dyDescent="0.3">
      <c r="A992">
        <v>995</v>
      </c>
      <c r="B992">
        <v>466</v>
      </c>
      <c r="C992">
        <v>888</v>
      </c>
      <c r="D992">
        <v>4</v>
      </c>
      <c r="E992" s="1">
        <v>45327</v>
      </c>
      <c r="F992">
        <v>15</v>
      </c>
      <c r="G992">
        <v>599.97</v>
      </c>
      <c r="H992" t="s">
        <v>11</v>
      </c>
      <c r="I992" cm="1">
        <f t="array" ref="I992">_xlfn.IFS(H992="Credit Card",1,H992="PayPal",2,H992="Cash",3,H992="Bank Transfer",4,TRUE,5)</f>
        <v>2</v>
      </c>
    </row>
    <row r="993" spans="1:9" x14ac:dyDescent="0.3">
      <c r="A993">
        <v>997</v>
      </c>
      <c r="B993">
        <v>196</v>
      </c>
      <c r="C993">
        <v>801</v>
      </c>
      <c r="D993">
        <v>2</v>
      </c>
      <c r="E993" s="1">
        <v>45594</v>
      </c>
      <c r="F993">
        <v>19</v>
      </c>
      <c r="G993">
        <v>1938.46</v>
      </c>
      <c r="H993" t="s">
        <v>8</v>
      </c>
      <c r="I993" cm="1">
        <f t="array" ref="I993">_xlfn.IFS(H993="Credit Card",1,H993="PayPal",2,H993="Cash",3,H993="Bank Transfer",4,TRUE,5)</f>
        <v>4</v>
      </c>
    </row>
    <row r="994" spans="1:9" x14ac:dyDescent="0.3">
      <c r="A994">
        <v>998</v>
      </c>
      <c r="B994">
        <v>588</v>
      </c>
      <c r="C994">
        <v>627</v>
      </c>
      <c r="D994">
        <v>1</v>
      </c>
      <c r="E994" s="1">
        <v>45626</v>
      </c>
      <c r="F994">
        <v>13</v>
      </c>
      <c r="G994">
        <v>835.98</v>
      </c>
      <c r="H994" t="s">
        <v>9</v>
      </c>
      <c r="I994" cm="1">
        <f t="array" ref="I994">_xlfn.IFS(H994="Credit Card",1,H994="PayPal",2,H994="Cash",3,H994="Bank Transfer",4,TRUE,5)</f>
        <v>1</v>
      </c>
    </row>
    <row r="995" spans="1:9" x14ac:dyDescent="0.3">
      <c r="A995">
        <v>999</v>
      </c>
      <c r="B995">
        <v>268</v>
      </c>
      <c r="C995">
        <v>294</v>
      </c>
      <c r="D995">
        <v>1</v>
      </c>
      <c r="E995" s="1">
        <v>45356</v>
      </c>
      <c r="F995">
        <v>5</v>
      </c>
      <c r="G995">
        <v>1205.8699999999999</v>
      </c>
      <c r="H995" t="s">
        <v>10</v>
      </c>
      <c r="I995" cm="1">
        <f t="array" ref="I995">_xlfn.IFS(H995="Credit Card",1,H995="PayPal",2,H995="Cash",3,H995="Bank Transfer",4,TRUE,5)</f>
        <v>3</v>
      </c>
    </row>
    <row r="996" spans="1:9" x14ac:dyDescent="0.3">
      <c r="A996">
        <v>1000</v>
      </c>
      <c r="B996">
        <v>339</v>
      </c>
      <c r="C996">
        <v>921</v>
      </c>
      <c r="D996">
        <v>1</v>
      </c>
      <c r="E996" s="1">
        <v>45587</v>
      </c>
      <c r="F996">
        <v>10</v>
      </c>
      <c r="G996">
        <v>950.76</v>
      </c>
      <c r="H996" t="s">
        <v>11</v>
      </c>
      <c r="I996" cm="1">
        <f t="array" ref="I996">_xlfn.IFS(H996="Credit Card",1,H996="PayPal",2,H996="Cash",3,H996="Bank Transfer",4,TRUE,5)</f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44B21FF-9E54-4D8D-B2C4-E4EF7F6F52D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Abdallah</dc:creator>
  <cp:lastModifiedBy>Ahmad Abdallah</cp:lastModifiedBy>
  <dcterms:created xsi:type="dcterms:W3CDTF">2015-06-05T18:17:20Z</dcterms:created>
  <dcterms:modified xsi:type="dcterms:W3CDTF">2026-04-24T17:16:46Z</dcterms:modified>
</cp:coreProperties>
</file>